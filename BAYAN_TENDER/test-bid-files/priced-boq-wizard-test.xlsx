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0" customWidth="1" min="4" max="4"/>
    <col width="18" customWidth="1" min="5" max="5"/>
    <col width="20" customWidth="1" min="6" max="6"/>
    <col width="12" customWidth="1" min="7" max="7"/>
  </cols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Unit Rate (AED)</t>
        </is>
      </c>
      <c r="F1" s="1" t="inlineStr">
        <is>
          <t>Amount (AED)</t>
        </is>
      </c>
      <c r="G1" s="1" t="inlineStr">
        <is>
          <t>Currency</t>
        </is>
      </c>
    </row>
    <row r="2">
      <c r="A2" s="2" t="inlineStr">
        <is>
          <t>3.1</t>
        </is>
      </c>
      <c r="B2" s="3" t="inlineStr">
        <is>
          <t>Porcelain floor tiling (600x600mm rectified) including screed bed, adhesive, and grouting</t>
        </is>
      </c>
      <c r="C2" s="4" t="n">
        <v>8500</v>
      </c>
      <c r="D2" s="2" t="inlineStr">
        <is>
          <t>m2</t>
        </is>
      </c>
      <c r="E2" s="4" t="n">
        <v>185</v>
      </c>
      <c r="F2" s="4" t="n">
        <v>1572500</v>
      </c>
      <c r="G2" s="2" t="inlineStr">
        <is>
          <t>AED</t>
        </is>
      </c>
    </row>
    <row r="3">
      <c r="A3" s="2" t="inlineStr">
        <is>
          <t>3.2</t>
        </is>
      </c>
      <c r="B3" s="3" t="inlineStr">
        <is>
          <t>Gypsum board suspended false ceiling with access panels and integrated lighting provisions</t>
        </is>
      </c>
      <c r="C3" s="4" t="n">
        <v>6200</v>
      </c>
      <c r="D3" s="2" t="inlineStr">
        <is>
          <t>m2</t>
        </is>
      </c>
      <c r="E3" s="4" t="n">
        <v>120</v>
      </c>
      <c r="F3" s="4" t="n">
        <v>744000</v>
      </c>
      <c r="G3" s="2" t="inlineStr">
        <is>
          <t>AED</t>
        </is>
      </c>
    </row>
    <row r="4">
      <c r="A4" s="2" t="inlineStr">
        <is>
          <t>3.3</t>
        </is>
      </c>
      <c r="B4" s="3" t="inlineStr">
        <is>
          <t>Interior painting - primer and 3 coats of premium emulsion paint to walls and ceilings</t>
        </is>
      </c>
      <c r="C4" s="4" t="n">
        <v>15000</v>
      </c>
      <c r="D4" s="2" t="inlineStr">
        <is>
          <t>m2</t>
        </is>
      </c>
      <c r="E4" s="4" t="n">
        <v>35</v>
      </c>
      <c r="F4" s="4" t="n">
        <v>525000</v>
      </c>
      <c r="G4" s="2" t="inlineStr">
        <is>
          <t>AED</t>
        </is>
      </c>
    </row>
    <row r="5">
      <c r="A5" s="2" t="inlineStr">
        <is>
          <t>3.4</t>
        </is>
      </c>
      <c r="B5" s="3" t="inlineStr">
        <is>
          <t>Aluminum and glass curtain wall system including structural glazing and weather seals</t>
        </is>
      </c>
      <c r="C5" s="4" t="n">
        <v>3800</v>
      </c>
      <c r="D5" s="2" t="inlineStr">
        <is>
          <t>m2</t>
        </is>
      </c>
      <c r="E5" s="4" t="n">
        <v>1250</v>
      </c>
      <c r="F5" s="4" t="n">
        <v>4750000</v>
      </c>
      <c r="G5" s="2" t="inlineStr">
        <is>
          <t>AED</t>
        </is>
      </c>
    </row>
    <row r="6">
      <c r="A6" s="2" t="inlineStr">
        <is>
          <t>2.1</t>
        </is>
      </c>
      <c r="B6" s="3" t="inlineStr">
        <is>
          <t>HVAC system complete - chillers, AHUs, FCUs, ductwork, controls, and BMS integration</t>
        </is>
      </c>
      <c r="C6" s="4" t="n">
        <v>1</v>
      </c>
      <c r="D6" s="2" t="inlineStr">
        <is>
          <t>LS</t>
        </is>
      </c>
      <c r="E6" s="4" t="n">
        <v>4500000</v>
      </c>
      <c r="F6" s="4" t="n">
        <v>4500000</v>
      </c>
      <c r="G6" s="2" t="inlineStr">
        <is>
          <t>AED</t>
        </is>
      </c>
    </row>
    <row r="7">
      <c r="A7" s="2" t="inlineStr">
        <is>
          <t>2.2</t>
        </is>
      </c>
      <c r="B7" s="3" t="inlineStr">
        <is>
          <t>Electrical distribution system - HV/LV panels, transformers, cable trays, wiring, and earthing</t>
        </is>
      </c>
      <c r="C7" s="4" t="n">
        <v>1</v>
      </c>
      <c r="D7" s="2" t="inlineStr">
        <is>
          <t>LS</t>
        </is>
      </c>
      <c r="E7" s="4" t="n">
        <v>3200000</v>
      </c>
      <c r="F7" s="4" t="n">
        <v>3200000</v>
      </c>
      <c r="G7" s="2" t="inlineStr">
        <is>
          <t>AED</t>
        </is>
      </c>
    </row>
    <row r="8">
      <c r="A8" s="2" t="inlineStr">
        <is>
          <t>2.3</t>
        </is>
      </c>
      <c r="B8" s="3" t="inlineStr">
        <is>
          <t>Fire fighting system - wet riser, sprinklers, hydrants, fire pump set, and alarm system</t>
        </is>
      </c>
      <c r="C8" s="4" t="n">
        <v>45</v>
      </c>
      <c r="D8" s="2" t="inlineStr">
        <is>
          <t>nos</t>
        </is>
      </c>
      <c r="E8" s="4" t="n">
        <v>1800000</v>
      </c>
      <c r="F8" s="4" t="n">
        <v>81000000</v>
      </c>
      <c r="G8" s="2" t="inlineStr">
        <is>
          <t>AED</t>
        </is>
      </c>
    </row>
    <row r="9">
      <c r="A9" s="2" t="inlineStr">
        <is>
          <t>2.4</t>
        </is>
      </c>
      <c r="B9" s="3" t="inlineStr">
        <is>
          <t>Plumbing and drainage - hot/cold water supply, soil and waste drainage, rainwater pipes</t>
        </is>
      </c>
      <c r="C9" s="4" t="n">
        <v>3200</v>
      </c>
      <c r="D9" s="2" t="inlineStr">
        <is>
          <t>lm</t>
        </is>
      </c>
      <c r="E9" s="4" t="n">
        <v>2100000</v>
      </c>
      <c r="F9" s="4" t="n">
        <v>6720000000</v>
      </c>
      <c r="G9" s="2" t="inlineStr">
        <is>
          <t>AED</t>
        </is>
      </c>
    </row>
    <row r="10">
      <c r="A10" s="2" t="inlineStr">
        <is>
          <t>2.5</t>
        </is>
      </c>
      <c r="B10" s="3" t="inlineStr">
        <is>
          <t>Low current systems - CCTV, access control, structured cabling, BMS, and intercom</t>
        </is>
      </c>
      <c r="C10" s="4" t="n">
        <v>1</v>
      </c>
      <c r="D10" s="2" t="inlineStr">
        <is>
          <t>LS</t>
        </is>
      </c>
      <c r="E10" s="4" t="n">
        <v>850000</v>
      </c>
      <c r="F10" s="4" t="n">
        <v>850000</v>
      </c>
      <c r="G10" s="2" t="inlineStr">
        <is>
          <t>AED</t>
        </is>
      </c>
    </row>
    <row r="11">
      <c r="A11" s="2" t="inlineStr">
        <is>
          <t>2.6</t>
        </is>
      </c>
      <c r="B11" s="3" t="inlineStr">
        <is>
          <t>Specialized MEP testing, commissioning, and balancing of all systems</t>
        </is>
      </c>
      <c r="C11" s="4" t="n">
        <v>1</v>
      </c>
      <c r="D11" s="2" t="inlineStr">
        <is>
          <t>LS</t>
        </is>
      </c>
      <c r="E11" s="4" t="n">
        <v>500</v>
      </c>
      <c r="F11" s="4" t="n">
        <v>500</v>
      </c>
      <c r="G11" s="2" t="inlineStr">
        <is>
          <t>AED</t>
        </is>
      </c>
    </row>
    <row r="12">
      <c r="A12" s="2" t="inlineStr">
        <is>
          <t>1.1</t>
        </is>
      </c>
      <c r="B12" s="3" t="inlineStr">
        <is>
          <t>Excavation and earthworks including bulk and detailed excavation, backfilling with approved materials, and disposal of surplus</t>
        </is>
      </c>
      <c r="C12" s="4" t="n">
        <v>12500</v>
      </c>
      <c r="D12" s="2" t="inlineStr">
        <is>
          <t>m3</t>
        </is>
      </c>
      <c r="E12" s="4" t="n">
        <v>850</v>
      </c>
      <c r="F12" s="4" t="n">
        <v>10625000</v>
      </c>
      <c r="G12" s="2" t="inlineStr">
        <is>
          <t>AED</t>
        </is>
      </c>
    </row>
    <row r="13">
      <c r="A13" s="2" t="inlineStr">
        <is>
          <t>1.2</t>
        </is>
      </c>
      <c r="B13" s="3" t="inlineStr">
        <is>
          <t>Reinforced concrete for foundations, columns, beams, and slabs (Grade C40/50) including formwork and rebar</t>
        </is>
      </c>
      <c r="C13" s="4" t="n">
        <v>3200</v>
      </c>
      <c r="D13" s="2" t="inlineStr">
        <is>
          <t>m3</t>
        </is>
      </c>
      <c r="E13" s="4" t="n">
        <v>45</v>
      </c>
      <c r="F13" s="4" t="n">
        <v>144000</v>
      </c>
      <c r="G13" s="2" t="inlineStr">
        <is>
          <t>AED</t>
        </is>
      </c>
    </row>
    <row r="14">
      <c r="A14" s="2" t="inlineStr">
        <is>
          <t>1.3</t>
        </is>
      </c>
      <c r="B14" s="3" t="inlineStr">
        <is>
          <t>Structural steel framework supply, fabrication, and erection including connections and fire protection</t>
        </is>
      </c>
      <c r="C14" s="4" t="n">
        <v>850</v>
      </c>
      <c r="D14" s="2" t="inlineStr">
        <is>
          <t>ton</t>
        </is>
      </c>
      <c r="E14" s="4" t="n">
        <v>380</v>
      </c>
      <c r="F14" s="4" t="n">
        <v>323000</v>
      </c>
      <c r="G14" s="2" t="inlineStr">
        <is>
          <t>AED</t>
        </is>
      </c>
    </row>
    <row r="15">
      <c r="A15" s="2" t="inlineStr">
        <is>
          <t>1.4</t>
        </is>
      </c>
      <c r="B15" s="3" t="inlineStr">
        <is>
          <t>Concrete block masonry walls (200mm thick) including mortar joints and reinforcement</t>
        </is>
      </c>
      <c r="C15" s="4" t="n">
        <v>4600</v>
      </c>
      <c r="D15" s="2" t="inlineStr">
        <is>
          <t>m2</t>
        </is>
      </c>
      <c r="E15" s="4" t="n">
        <v>12</v>
      </c>
      <c r="F15" s="4" t="n">
        <v>55200</v>
      </c>
      <c r="G15" s="2" t="inlineStr">
        <is>
          <t>AED</t>
        </is>
      </c>
    </row>
    <row r="16">
      <c r="A16" s="2" t="inlineStr">
        <is>
          <t>1.5</t>
        </is>
      </c>
      <c r="B16" s="3" t="inlineStr">
        <is>
          <t>Waterproofing membrane system to basement walls and raft foundation with protection board</t>
        </is>
      </c>
      <c r="C16" s="4" t="n">
        <v>2800</v>
      </c>
      <c r="D16" s="2" t="inlineStr">
        <is>
          <t>m2</t>
        </is>
      </c>
      <c r="E16" s="4" t="n">
        <v>65</v>
      </c>
      <c r="F16" s="4" t="n">
        <v>182000</v>
      </c>
      <c r="G16" s="2" t="inlineStr">
        <is>
          <t>AED</t>
        </is>
      </c>
    </row>
    <row r="17">
      <c r="A17" s="2" t="inlineStr">
        <is>
          <t>1.6</t>
        </is>
      </c>
      <c r="B17" s="3" t="inlineStr">
        <is>
          <t>Premium Italian marble cladding to main lobby walls and floor (Calacatta Gold)</t>
        </is>
      </c>
      <c r="C17" s="4" t="n">
        <v>450</v>
      </c>
      <c r="D17" s="2" t="inlineStr">
        <is>
          <t>m2</t>
        </is>
      </c>
      <c r="E17" s="4" t="n">
        <v>500</v>
      </c>
      <c r="F17" s="4" t="n">
        <v>225000</v>
      </c>
      <c r="G17" s="2" t="inlineStr">
        <is>
          <t>AED</t>
        </is>
      </c>
    </row>
    <row r="18">
      <c r="A18" s="2" t="inlineStr">
        <is>
          <t>4.1</t>
        </is>
      </c>
      <c r="B18" s="3" t="inlineStr">
        <is>
          <t>Interlocking concrete paver roads, parking areas, and pedestrian walkways with sub-base</t>
        </is>
      </c>
      <c r="C18" s="4" t="n">
        <v>4200</v>
      </c>
      <c r="D18" s="2" t="inlineStr">
        <is>
          <t>m2</t>
        </is>
      </c>
      <c r="E18" s="4" t="n">
        <v>280</v>
      </c>
      <c r="F18" s="4" t="n">
        <v>1176000</v>
      </c>
      <c r="G18" s="2" t="inlineStr">
        <is>
          <t>AED</t>
        </is>
      </c>
    </row>
    <row r="19">
      <c r="A19" s="2" t="inlineStr">
        <is>
          <t>4.2</t>
        </is>
      </c>
      <c r="B19" s="3" t="inlineStr">
        <is>
          <t>Reinforced concrete boundary wall (2.4m high) with decorative stone cladding and steel railing</t>
        </is>
      </c>
      <c r="C19" s="4" t="n">
        <v>620</v>
      </c>
      <c r="D19" s="2" t="inlineStr">
        <is>
          <t>lm</t>
        </is>
      </c>
      <c r="E19" s="4" t="n">
        <v>950</v>
      </c>
      <c r="F19" s="4" t="n">
        <v>589000</v>
      </c>
      <c r="G19" s="2" t="inlineStr">
        <is>
          <t>AED</t>
        </is>
      </c>
    </row>
    <row r="20">
      <c r="A20" s="2" t="inlineStr">
        <is>
          <t>4.3</t>
        </is>
      </c>
      <c r="B20" s="3" t="inlineStr">
        <is>
          <t>Soft landscaping including topsoil, turf, trees, shrubs, and automatic irrigation system</t>
        </is>
      </c>
      <c r="C20" s="4" t="n">
        <v>2500</v>
      </c>
      <c r="D20" s="2" t="inlineStr">
        <is>
          <t>m2</t>
        </is>
      </c>
      <c r="E20" s="4" t="n">
        <v>22000</v>
      </c>
      <c r="F20" s="4" t="n">
        <v>55000000</v>
      </c>
      <c r="G20" s="2" t="inlineStr">
        <is>
          <t>AED</t>
        </is>
      </c>
    </row>
    <row r="21">
      <c r="A21" s="2" t="inlineStr">
        <is>
          <t>4.4</t>
        </is>
      </c>
      <c r="B21" s="3" t="inlineStr">
        <is>
          <t>External lighting - LED pole lights, bollard lights, facade lighting, and control system</t>
        </is>
      </c>
      <c r="C21" s="4" t="n">
        <v>1</v>
      </c>
      <c r="D21" s="2" t="inlineStr">
        <is>
          <t>LS</t>
        </is>
      </c>
      <c r="E21" s="4" t="n">
        <v>15</v>
      </c>
      <c r="F21" s="4" t="n">
        <v>15</v>
      </c>
      <c r="G21" s="2" t="inlineStr">
        <is>
          <t>AED</t>
        </is>
      </c>
    </row>
    <row r="22">
      <c r="A22" s="5" t="inlineStr"/>
      <c r="B22" s="5" t="inlineStr">
        <is>
          <t>TOTAL</t>
        </is>
      </c>
      <c r="F22" s="6">
        <f>SUM(F2:F21)</f>
        <v/>
      </c>
      <c r="G22" s="5" t="inlineStr">
        <is>
          <t>AED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2026-02-08T19:10:29Z</dcterms:created>
  <dcterms:modified xmlns:dcterms="http://purl.org/dc/terms/" xmlns:xsi="http://www.w3.org/2001/XMLSchema-instance" xsi:type="dcterms:W3CDTF">2026-02-08T19:10:29Z</dcterms:modified>
</cp:coreProperties>
</file>