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b3a93c07d48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de36997054358b4299276708a8814.psmdcp" Id="R12c6534554ba4c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Q" sheetId="2" r:id="rId2"/>
    <x:sheet name="Instructions" sheetId="3" r:id="rId3"/>
  </x:sheets>
  <x:definedNames>
    <x:definedName name="_xlnm.Print_Area" localSheetId="0">BOQ!$A$1:$H$53</x:definedName>
    <x:definedName name="_xlnm._FilterDatabase" localSheetId="0" hidden="1">BOQ!$A$7:$H$50</x:definedName>
  </x:definedNames>
  <x:calcPr calcId="125725"/>
</x:workbook>
</file>

<file path=xl/calcChain.xml><?xml version="1.0" encoding="utf-8"?>
<x:calcChain xmlns:x="http://schemas.openxmlformats.org/spreadsheetml/2006/main">
  <x:c r="H8" i="2"/>
  <x:c r="H9" i="2"/>
  <x:c r="H10" i="2"/>
  <x:c r="H11" i="2"/>
  <x:c r="H12" i="2"/>
  <x:c r="H13" i="2"/>
  <x:c r="H14" i="2"/>
  <x:c r="H15" i="2"/>
  <x:c r="H16" i="2"/>
  <x:c r="H17" i="2"/>
  <x:c r="H18" i="2"/>
  <x:c r="H19" i="2"/>
  <x:c r="H20" i="2"/>
  <x:c r="H21" i="2"/>
  <x:c r="H22" i="2"/>
  <x:c r="H23" i="2"/>
  <x:c r="H24" i="2"/>
  <x:c r="H25" i="2"/>
  <x:c r="H26" i="2"/>
  <x:c r="H27" i="2"/>
  <x:c r="H28" i="2"/>
  <x:c r="H29" i="2"/>
  <x:c r="H30" i="2"/>
  <x:c r="H31" i="2"/>
  <x:c r="H32" i="2"/>
  <x:c r="H33" i="2"/>
  <x:c r="H34" i="2"/>
  <x:c r="H35" i="2"/>
  <x:c r="H36" i="2"/>
  <x:c r="H37" i="2"/>
  <x:c r="H38" i="2"/>
  <x:c r="H39" i="2"/>
  <x:c r="H40" i="2"/>
  <x:c r="H41" i="2"/>
  <x:c r="H42" i="2"/>
  <x:c r="H43" i="2"/>
  <x:c r="H44" i="2"/>
  <x:c r="H45" i="2"/>
  <x:c r="H46" i="2"/>
  <x:c r="H47" i="2"/>
  <x:c r="H48" i="2"/>
  <x:c r="H49" i="2"/>
  <x:c r="H50" i="2"/>
  <x:c r="H52" i="2"/>
  <x:c r="B53" i="2"/>
</x:calcChain>
</file>

<file path=xl/sharedStrings.xml><?xml version="1.0" encoding="utf-8"?>
<x:sst xmlns:x="http://schemas.openxmlformats.org/spreadsheetml/2006/main">
  <x:si>
    <x:t>Bill of Quantities</x:t>
  </x:si>
  <x:si>
    <x:t>The Joud Tower - Main Construction Works</x:t>
  </x:si>
  <x:si>
    <x:t>Reference: TNR-2026-0005</x:t>
  </x:si>
  <x:si>
    <x:t>Submission Deadline: 12-Feb-2026 22:43</x:t>
  </x:si>
  <x:si>
    <x:t>Currency: AED</x:t>
  </x:si>
  <x:si>
    <x:t>Section</x:t>
  </x:si>
  <x:si>
    <x:t>Item #</x:t>
  </x:si>
  <x:si>
    <x:t>Description</x:t>
  </x:si>
  <x:si>
    <x:t>Qty</x:t>
  </x:si>
  <x:si>
    <x:t>UOM</x:t>
  </x:si>
  <x:si>
    <x:t>Notes</x:t>
  </x:si>
  <x:si>
    <x:t>Unit Rate</x:t>
  </x:si>
  <x:si>
    <x:t>Amount</x:t>
  </x:si>
  <x:si>
    <x:t>1 - Preliminaries &amp; General Requirements</x:t>
  </x:si>
  <x:si>
    <x:t>1.1</x:t>
  </x:si>
  <x:si>
    <x:t>Site establishment, offices, stores and temporary facilities</x:t>
  </x:si>
  <x:si>
    <x:t>LS</x:t>
  </x:si>
  <x:si>
    <x:t>1.2</x:t>
  </x:si>
  <x:si>
    <x:t>Insurance - Contractor's All Risk (CAR) Policy</x:t>
  </x:si>
  <x:si>
    <x:t>1.3</x:t>
  </x:si>
  <x:si>
    <x:t>Performance bond (10% of contract value)</x:t>
  </x:si>
  <x:si>
    <x:t>1.4</x:t>
  </x:si>
  <x:si>
    <x:t>Tower crane supply, erection, operation and dismantling (2 nos)</x:t>
  </x:si>
  <x:si>
    <x:t>month</x:t>
  </x:si>
  <x:si>
    <x:t>1.5</x:t>
  </x:si>
  <x:si>
    <x:t>Construction hoist / passenger-material lift (3 nos)</x:t>
  </x:si>
  <x:si>
    <x:t>2 - Substructure Works</x:t>
  </x:si>
  <x:si>
    <x:t>2.1</x:t>
  </x:si>
  <x:si>
    <x:t>Excavation to formation level including disposal</x:t>
  </x:si>
  <x:si>
    <x:t>m3</x:t>
  </x:si>
  <x:si>
    <x:t>2.2</x:t>
  </x:si>
  <x:si>
    <x:t>Diaphragm wall construction (800mm thick, 25m deep)</x:t>
  </x:si>
  <x:si>
    <x:t>m2</x:t>
  </x:si>
  <x:si>
    <x:t>2.3</x:t>
  </x:si>
  <x:si>
    <x:t>Bored piles (1200mm dia, 30m depth) including load testing</x:t>
  </x:si>
  <x:si>
    <x:t>nos</x:t>
  </x:si>
  <x:si>
    <x:t>2.4</x:t>
  </x:si>
  <x:si>
    <x:t>Pile caps and ground beams (C50 concrete)</x:t>
  </x:si>
  <x:si>
    <x:t>2.5</x:t>
  </x:si>
  <x:si>
    <x:t>Raft foundation (2.5m thick, C60 concrete)</x:t>
  </x:si>
  <x:si>
    <x:t>2.6</x:t>
  </x:si>
  <x:si>
    <x:t>Waterproofing membrane to basement (crystalline + sheet)</x:t>
  </x:si>
  <x:si>
    <x:t>3 - Superstructure - Concrete Works</x:t>
  </x:si>
  <x:si>
    <x:t>3.1</x:t>
  </x:si>
  <x:si>
    <x:t>Core wall concrete (C60/C80 grade, 400-600mm thick)</x:t>
  </x:si>
  <x:si>
    <x:t>3.2</x:t>
  </x:si>
  <x:si>
    <x:t>Column concrete (C60 grade, various sizes)</x:t>
  </x:si>
  <x:si>
    <x:t>3.3</x:t>
  </x:si>
  <x:si>
    <x:t>Post-tensioned flat slab (250mm thick, C40)</x:t>
  </x:si>
  <x:si>
    <x:t>3.4</x:t>
  </x:si>
  <x:si>
    <x:t>Transfer slab at Level 8 (1500mm thick, C60)</x:t>
  </x:si>
  <x:si>
    <x:t>3.5</x:t>
  </x:si>
  <x:si>
    <x:t>Rebar supply and fixing (Grade 500B)</x:t>
  </x:si>
  <x:si>
    <x:t>ton</x:t>
  </x:si>
  <x:si>
    <x:t>3.6</x:t>
  </x:si>
  <x:si>
    <x:t>Formwork (system formwork for typical floors)</x:t>
  </x:si>
  <x:si>
    <x:t>4 - Superstructure - Steel Works</x:t>
  </x:si>
  <x:si>
    <x:t>4.1</x:t>
  </x:si>
  <x:si>
    <x:t>Structural steel for outrigger system (Grade S355)</x:t>
  </x:si>
  <x:si>
    <x:t>4.2</x:t>
  </x:si>
  <x:si>
    <x:t>Steel roof structure and helipad frame</x:t>
  </x:si>
  <x:si>
    <x:t>4.3</x:t>
  </x:si>
  <x:si>
    <x:t>Miscellaneous steel (brackets, embeds, lintels)</x:t>
  </x:si>
  <x:si>
    <x:t>5 - MEP - Mechanical Works</x:t>
  </x:si>
  <x:si>
    <x:t>5.1</x:t>
  </x:si>
  <x:si>
    <x:t>HVAC chiller plant (4 x 1500 TR centrifugal chillers)</x:t>
  </x:si>
  <x:si>
    <x:t>5.2</x:t>
  </x:si>
  <x:si>
    <x:t>Air handling units and fan coil units complete</x:t>
  </x:si>
  <x:si>
    <x:t>lot</x:t>
  </x:si>
  <x:si>
    <x:t>5.3</x:t>
  </x:si>
  <x:si>
    <x:t>Plumbing and drainage systems complete</x:t>
  </x:si>
  <x:si>
    <x:t>5.4</x:t>
  </x:si>
  <x:si>
    <x:t>Fire fighting systems (sprinklers, risers, pumps)</x:t>
  </x:si>
  <x:si>
    <x:t>5.5</x:t>
  </x:si>
  <x:si>
    <x:t>Elevator installation (20 high-speed passenger + 4 service)</x:t>
  </x:si>
  <x:si>
    <x:t>6 - MEP - Electrical Works</x:t>
  </x:si>
  <x:si>
    <x:t>6.1</x:t>
  </x:si>
  <x:si>
    <x:t>HV/LV switchgear and transformer rooms (4 x 2500kVA)</x:t>
  </x:si>
  <x:si>
    <x:t>6.2</x:t>
  </x:si>
  <x:si>
    <x:t>Emergency diesel generators (2 x 2000kVA)</x:t>
  </x:si>
  <x:si>
    <x:t>6.3</x:t>
  </x:si>
  <x:si>
    <x:t>Electrical distribution (busduct, cables, containment)</x:t>
  </x:si>
  <x:si>
    <x:t>6.4</x:t>
  </x:si>
  <x:si>
    <x:t>Lighting and small power installation</x:t>
  </x:si>
  <x:si>
    <x:t>6.5</x:t>
  </x:si>
  <x:si>
    <x:t>BMS, ELV systems, IT infrastructure</x:t>
  </x:si>
  <x:si>
    <x:t>7 - Facade &amp; Curtain Wall</x:t>
  </x:si>
  <x:si>
    <x:t>7.1</x:t>
  </x:si>
  <x:si>
    <x:t>Unitized curtain wall system (double-glazed Low-E)</x:t>
  </x:si>
  <x:si>
    <x:t>7.2</x:t>
  </x:si>
  <x:si>
    <x:t>Aluminium composite panel cladding to podium</x:t>
  </x:si>
  <x:si>
    <x:t>7.3</x:t>
  </x:si>
  <x:si>
    <x:t>Crown feature and architectural lighting</x:t>
  </x:si>
  <x:si>
    <x:t>8 - Interior Fit-Out</x:t>
  </x:si>
  <x:si>
    <x:t>8.1</x:t>
  </x:si>
  <x:si>
    <x:t>Lobby and common area fit-out (marble, feature walls)</x:t>
  </x:si>
  <x:si>
    <x:t>8.2</x:t>
  </x:si>
  <x:si>
    <x:t>Typical residential floor fit-out (shell &amp; core)</x:t>
  </x:si>
  <x:si>
    <x:t>8.3</x:t>
  </x:si>
  <x:si>
    <x:t>Raised floor and ceiling system for office floors</x:t>
  </x:si>
  <x:si>
    <x:t>8.4</x:t>
  </x:si>
  <x:si>
    <x:t>Internal painting and wall finishes</x:t>
  </x:si>
  <x:si>
    <x:t>9 - External Works &amp; Landscaping</x:t>
  </x:si>
  <x:si>
    <x:t>9.1</x:t>
  </x:si>
  <x:si>
    <x:t>Hardscaping - interlocking pavers and granite paving</x:t>
  </x:si>
  <x:si>
    <x:t>9.2</x:t>
  </x:si>
  <x:si>
    <x:t>Soft landscaping - planting, irrigation, water features</x:t>
  </x:si>
  <x:si>
    <x:t>9.3</x:t>
  </x:si>
  <x:si>
    <x:t>Swimming pool construction (25m lap pool + leisure pool)</x:t>
  </x:si>
  <x:si>
    <x:t>10 - Provisional Sums &amp; Contingency</x:t>
  </x:si>
  <x:si>
    <x:t>10.1</x:t>
  </x:si>
  <x:si>
    <x:t>Provisional sum for authority fees and utility connections</x:t>
  </x:si>
  <x:si>
    <x:t>10.2</x:t>
  </x:si>
  <x:si>
    <x:t>Provisional sum for design consultancy fees</x:t>
  </x:si>
  <x:si>
    <x:t>10.3</x:t>
  </x:si>
  <x:si>
    <x:t>Contingency allowance (5%)</x:t>
  </x:si>
  <x:si>
    <x:t>TOTAL:</x:t>
  </x:si>
  <x:si>
    <x:t>Total Items</x:t>
  </x:si>
  <x:si>
    <x:t>BOQ Completion Instructions</x:t>
  </x:si>
  <x:si>
    <x:t>1. DO NOT modify the Item #, Description, Quantity, or UOM columns.</x:t>
  </x:si>
  <x:si>
    <x:t>2. Enter your Unit Rate for each line item in the 'Unit Rate' column.</x:t>
  </x:si>
  <x:si>
    <x:t>3. The Amount column is calculated automatically (Quantity x Unit Rate).</x:t>
  </x:si>
  <x:si>
    <x:t>4. All prices should be in the currency specified in the header.</x:t>
  </x:si>
  <x:si>
    <x:t>5. Yellow highlighted cells indicate required input.</x:t>
  </x:si>
  <x:si>
    <x:t>6. Use the dropdown list for UOM if available.</x:t>
  </x:si>
  <x:si>
    <x:t>7. Ensure all unit rates are filled before submission.</x:t>
  </x:si>
  <x:si>
    <x:t>8. Save the file in .xlsx format after completion.</x:t>
  </x:si>
  <x:si>
    <x:t>9. Do not add, delete, or reorder rows.</x:t>
  </x:si>
  <x:si>
    <x:t>10. Contact the procurement team for any clarifications.</x:t>
  </x:si>
  <x:si>
    <x:t>Color Legend:</x:t>
  </x:si>
  <x:si>
    <x:t>Protected cells (read-only)</x:t>
  </x:si>
  <x:si>
    <x:t>Cells requiring input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</x:si>
</x:sst>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5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5F5F5"/>
      </x:patternFill>
    </x:fill>
    <x:fill>
      <x:patternFill patternType="solid">
        <x:fgColor rgb="FFFFEB3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4" fontId="0" fillId="3" borderId="2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5" fillId="2" borderId="3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EB3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3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37.710625" style="0" customWidth="1"/>
    <x:col min="2" max="2" width="8.710625" style="0" customWidth="1"/>
    <x:col min="3" max="3" width="58.424911" style="0" customWidth="1"/>
    <x:col min="4" max="4" width="10.424911" style="0" customWidth="1"/>
    <x:col min="5" max="5" width="7.853482" style="0" customWidth="1"/>
    <x:col min="6" max="6" width="8.282054" style="0" customWidth="1"/>
    <x:col min="7" max="7" width="11.424911" style="0" customWidth="1"/>
    <x:col min="8" max="8" width="10.567768" style="0" customWidth="1"/>
  </x:cols>
  <x:sheetData>
    <x:row r="1" spans="1:8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spans="1:8">
      <x:c r="A2" s="2" t="s">
        <x:v>1</x:v>
      </x:c>
      <x:c r="B2" s="2"/>
      <x:c r="C2" s="2"/>
      <x:c r="D2" s="2"/>
      <x:c r="E2" s="2"/>
      <x:c r="F2" s="2"/>
      <x:c r="G2" s="2"/>
      <x:c r="H2" s="2"/>
    </x:row>
    <x:row r="3" spans="1:8">
      <x:c r="A3" s="3" t="s">
        <x:v>2</x:v>
      </x:c>
    </x:row>
    <x:row r="4" spans="1:8">
      <x:c r="A4" s="4" t="s">
        <x:v>3</x:v>
      </x:c>
    </x:row>
    <x:row r="5" spans="1:8">
      <x:c r="A5" s="0" t="s">
        <x:v>4</x:v>
      </x:c>
    </x:row>
    <x:row r="7" spans="1:8" ht="30" customHeight="1">
      <x:c r="A7" s="5" t="s">
        <x:v>5</x:v>
      </x:c>
      <x:c r="B7" s="5" t="s">
        <x:v>6</x:v>
      </x:c>
      <x:c r="C7" s="5" t="s">
        <x:v>7</x:v>
      </x:c>
      <x:c r="D7" s="5" t="s">
        <x:v>8</x:v>
      </x:c>
      <x:c r="E7" s="5" t="s">
        <x:v>9</x:v>
      </x:c>
      <x:c r="F7" s="5" t="s">
        <x:v>10</x:v>
      </x:c>
      <x:c r="G7" s="5" t="s">
        <x:v>11</x:v>
      </x:c>
      <x:c r="H7" s="5" t="s">
        <x:v>12</x:v>
      </x:c>
    </x:row>
    <x:row r="8" spans="1:8">
      <x:c r="A8" s="6" t="s">
        <x:v>13</x:v>
      </x:c>
      <x:c r="B8" s="7" t="s">
        <x:v>14</x:v>
      </x:c>
      <x:c r="C8" s="8" t="s">
        <x:v>15</x:v>
      </x:c>
      <x:c r="D8" s="9">
        <x:v>1</x:v>
      </x:c>
      <x:c r="E8" s="7" t="s">
        <x:v>16</x:v>
      </x:c>
      <x:c r="F8" s="10" t="s"/>
      <x:c r="G8" s="11"/>
      <x:c r="H8" s="11">
        <x:f>D8*G8</x:f>
      </x:c>
    </x:row>
    <x:row r="9" spans="1:8">
      <x:c r="A9" s="6" t="s">
        <x:v>13</x:v>
      </x:c>
      <x:c r="B9" s="7" t="s">
        <x:v>17</x:v>
      </x:c>
      <x:c r="C9" s="8" t="s">
        <x:v>18</x:v>
      </x:c>
      <x:c r="D9" s="9">
        <x:v>1</x:v>
      </x:c>
      <x:c r="E9" s="7" t="s">
        <x:v>16</x:v>
      </x:c>
      <x:c r="F9" s="10" t="s"/>
      <x:c r="G9" s="11"/>
      <x:c r="H9" s="11">
        <x:f>D9*G9</x:f>
      </x:c>
    </x:row>
    <x:row r="10" spans="1:8">
      <x:c r="A10" s="6" t="s">
        <x:v>13</x:v>
      </x:c>
      <x:c r="B10" s="7" t="s">
        <x:v>19</x:v>
      </x:c>
      <x:c r="C10" s="8" t="s">
        <x:v>20</x:v>
      </x:c>
      <x:c r="D10" s="9">
        <x:v>1</x:v>
      </x:c>
      <x:c r="E10" s="7" t="s">
        <x:v>16</x:v>
      </x:c>
      <x:c r="F10" s="10" t="s"/>
      <x:c r="G10" s="11"/>
      <x:c r="H10" s="11">
        <x:f>D10*G10</x:f>
      </x:c>
    </x:row>
    <x:row r="11" spans="1:8">
      <x:c r="A11" s="6" t="s">
        <x:v>13</x:v>
      </x:c>
      <x:c r="B11" s="7" t="s">
        <x:v>21</x:v>
      </x:c>
      <x:c r="C11" s="8" t="s">
        <x:v>22</x:v>
      </x:c>
      <x:c r="D11" s="9">
        <x:v>24</x:v>
      </x:c>
      <x:c r="E11" s="7" t="s">
        <x:v>23</x:v>
      </x:c>
      <x:c r="F11" s="10" t="s"/>
      <x:c r="G11" s="11"/>
      <x:c r="H11" s="11">
        <x:f>D11*G11</x:f>
      </x:c>
    </x:row>
    <x:row r="12" spans="1:8">
      <x:c r="A12" s="6" t="s">
        <x:v>13</x:v>
      </x:c>
      <x:c r="B12" s="7" t="s">
        <x:v>24</x:v>
      </x:c>
      <x:c r="C12" s="8" t="s">
        <x:v>25</x:v>
      </x:c>
      <x:c r="D12" s="9">
        <x:v>24</x:v>
      </x:c>
      <x:c r="E12" s="7" t="s">
        <x:v>23</x:v>
      </x:c>
      <x:c r="F12" s="10" t="s"/>
      <x:c r="G12" s="11"/>
      <x:c r="H12" s="11">
        <x:f>D12*G12</x:f>
      </x:c>
    </x:row>
    <x:row r="13" spans="1:8">
      <x:c r="A13" s="6" t="s">
        <x:v>26</x:v>
      </x:c>
      <x:c r="B13" s="7" t="s">
        <x:v>27</x:v>
      </x:c>
      <x:c r="C13" s="8" t="s">
        <x:v>28</x:v>
      </x:c>
      <x:c r="D13" s="9">
        <x:v>45000</x:v>
      </x:c>
      <x:c r="E13" s="7" t="s">
        <x:v>29</x:v>
      </x:c>
      <x:c r="F13" s="10" t="s"/>
      <x:c r="G13" s="11"/>
      <x:c r="H13" s="11">
        <x:f>D13*G13</x:f>
      </x:c>
    </x:row>
    <x:row r="14" spans="1:8">
      <x:c r="A14" s="6" t="s">
        <x:v>26</x:v>
      </x:c>
      <x:c r="B14" s="7" t="s">
        <x:v>30</x:v>
      </x:c>
      <x:c r="C14" s="8" t="s">
        <x:v>31</x:v>
      </x:c>
      <x:c r="D14" s="9">
        <x:v>8500</x:v>
      </x:c>
      <x:c r="E14" s="7" t="s">
        <x:v>32</x:v>
      </x:c>
      <x:c r="F14" s="10" t="s"/>
      <x:c r="G14" s="11"/>
      <x:c r="H14" s="11">
        <x:f>D14*G14</x:f>
      </x:c>
    </x:row>
    <x:row r="15" spans="1:8">
      <x:c r="A15" s="6" t="s">
        <x:v>26</x:v>
      </x:c>
      <x:c r="B15" s="7" t="s">
        <x:v>33</x:v>
      </x:c>
      <x:c r="C15" s="8" t="s">
        <x:v>34</x:v>
      </x:c>
      <x:c r="D15" s="9">
        <x:v>120</x:v>
      </x:c>
      <x:c r="E15" s="7" t="s">
        <x:v>35</x:v>
      </x:c>
      <x:c r="F15" s="10" t="s"/>
      <x:c r="G15" s="11"/>
      <x:c r="H15" s="11">
        <x:f>D15*G15</x:f>
      </x:c>
    </x:row>
    <x:row r="16" spans="1:8">
      <x:c r="A16" s="6" t="s">
        <x:v>26</x:v>
      </x:c>
      <x:c r="B16" s="7" t="s">
        <x:v>36</x:v>
      </x:c>
      <x:c r="C16" s="8" t="s">
        <x:v>37</x:v>
      </x:c>
      <x:c r="D16" s="9">
        <x:v>3200</x:v>
      </x:c>
      <x:c r="E16" s="7" t="s">
        <x:v>29</x:v>
      </x:c>
      <x:c r="F16" s="10" t="s"/>
      <x:c r="G16" s="11"/>
      <x:c r="H16" s="11">
        <x:f>D16*G16</x:f>
      </x:c>
    </x:row>
    <x:row r="17" spans="1:8">
      <x:c r="A17" s="6" t="s">
        <x:v>26</x:v>
      </x:c>
      <x:c r="B17" s="7" t="s">
        <x:v>38</x:v>
      </x:c>
      <x:c r="C17" s="8" t="s">
        <x:v>39</x:v>
      </x:c>
      <x:c r="D17" s="9">
        <x:v>4500</x:v>
      </x:c>
      <x:c r="E17" s="7" t="s">
        <x:v>29</x:v>
      </x:c>
      <x:c r="F17" s="10" t="s"/>
      <x:c r="G17" s="11"/>
      <x:c r="H17" s="11">
        <x:f>D17*G17</x:f>
      </x:c>
    </x:row>
    <x:row r="18" spans="1:8">
      <x:c r="A18" s="6" t="s">
        <x:v>26</x:v>
      </x:c>
      <x:c r="B18" s="7" t="s">
        <x:v>40</x:v>
      </x:c>
      <x:c r="C18" s="8" t="s">
        <x:v>41</x:v>
      </x:c>
      <x:c r="D18" s="9">
        <x:v>12000</x:v>
      </x:c>
      <x:c r="E18" s="7" t="s">
        <x:v>32</x:v>
      </x:c>
      <x:c r="F18" s="10" t="s"/>
      <x:c r="G18" s="11"/>
      <x:c r="H18" s="11">
        <x:f>D18*G18</x:f>
      </x:c>
    </x:row>
    <x:row r="19" spans="1:8">
      <x:c r="A19" s="6" t="s">
        <x:v>42</x:v>
      </x:c>
      <x:c r="B19" s="7" t="s">
        <x:v>43</x:v>
      </x:c>
      <x:c r="C19" s="8" t="s">
        <x:v>44</x:v>
      </x:c>
      <x:c r="D19" s="9">
        <x:v>18000</x:v>
      </x:c>
      <x:c r="E19" s="7" t="s">
        <x:v>29</x:v>
      </x:c>
      <x:c r="F19" s="10" t="s"/>
      <x:c r="G19" s="11"/>
      <x:c r="H19" s="11">
        <x:f>D19*G19</x:f>
      </x:c>
    </x:row>
    <x:row r="20" spans="1:8">
      <x:c r="A20" s="6" t="s">
        <x:v>42</x:v>
      </x:c>
      <x:c r="B20" s="7" t="s">
        <x:v>45</x:v>
      </x:c>
      <x:c r="C20" s="8" t="s">
        <x:v>46</x:v>
      </x:c>
      <x:c r="D20" s="9">
        <x:v>8500</x:v>
      </x:c>
      <x:c r="E20" s="7" t="s">
        <x:v>29</x:v>
      </x:c>
      <x:c r="F20" s="10" t="s"/>
      <x:c r="G20" s="11"/>
      <x:c r="H20" s="11">
        <x:f>D20*G20</x:f>
      </x:c>
    </x:row>
    <x:row r="21" spans="1:8">
      <x:c r="A21" s="6" t="s">
        <x:v>42</x:v>
      </x:c>
      <x:c r="B21" s="7" t="s">
        <x:v>47</x:v>
      </x:c>
      <x:c r="C21" s="8" t="s">
        <x:v>48</x:v>
      </x:c>
      <x:c r="D21" s="9">
        <x:v>95000</x:v>
      </x:c>
      <x:c r="E21" s="7" t="s">
        <x:v>32</x:v>
      </x:c>
      <x:c r="F21" s="10" t="s"/>
      <x:c r="G21" s="11"/>
      <x:c r="H21" s="11">
        <x:f>D21*G21</x:f>
      </x:c>
    </x:row>
    <x:row r="22" spans="1:8">
      <x:c r="A22" s="6" t="s">
        <x:v>42</x:v>
      </x:c>
      <x:c r="B22" s="7" t="s">
        <x:v>49</x:v>
      </x:c>
      <x:c r="C22" s="8" t="s">
        <x:v>50</x:v>
      </x:c>
      <x:c r="D22" s="9">
        <x:v>2800</x:v>
      </x:c>
      <x:c r="E22" s="7" t="s">
        <x:v>29</x:v>
      </x:c>
      <x:c r="F22" s="10" t="s"/>
      <x:c r="G22" s="11"/>
      <x:c r="H22" s="11">
        <x:f>D22*G22</x:f>
      </x:c>
    </x:row>
    <x:row r="23" spans="1:8">
      <x:c r="A23" s="6" t="s">
        <x:v>42</x:v>
      </x:c>
      <x:c r="B23" s="7" t="s">
        <x:v>51</x:v>
      </x:c>
      <x:c r="C23" s="8" t="s">
        <x:v>52</x:v>
      </x:c>
      <x:c r="D23" s="9">
        <x:v>22000</x:v>
      </x:c>
      <x:c r="E23" s="7" t="s">
        <x:v>53</x:v>
      </x:c>
      <x:c r="F23" s="10" t="s"/>
      <x:c r="G23" s="11"/>
      <x:c r="H23" s="11">
        <x:f>D23*G23</x:f>
      </x:c>
    </x:row>
    <x:row r="24" spans="1:8">
      <x:c r="A24" s="6" t="s">
        <x:v>42</x:v>
      </x:c>
      <x:c r="B24" s="7" t="s">
        <x:v>54</x:v>
      </x:c>
      <x:c r="C24" s="8" t="s">
        <x:v>55</x:v>
      </x:c>
      <x:c r="D24" s="9">
        <x:v>185000</x:v>
      </x:c>
      <x:c r="E24" s="7" t="s">
        <x:v>32</x:v>
      </x:c>
      <x:c r="F24" s="10" t="s"/>
      <x:c r="G24" s="11"/>
      <x:c r="H24" s="11">
        <x:f>D24*G24</x:f>
      </x:c>
    </x:row>
    <x:row r="25" spans="1:8">
      <x:c r="A25" s="6" t="s">
        <x:v>56</x:v>
      </x:c>
      <x:c r="B25" s="7" t="s">
        <x:v>57</x:v>
      </x:c>
      <x:c r="C25" s="8" t="s">
        <x:v>58</x:v>
      </x:c>
      <x:c r="D25" s="9">
        <x:v>2400</x:v>
      </x:c>
      <x:c r="E25" s="7" t="s">
        <x:v>53</x:v>
      </x:c>
      <x:c r="F25" s="10" t="s"/>
      <x:c r="G25" s="11"/>
      <x:c r="H25" s="11">
        <x:f>D25*G25</x:f>
      </x:c>
    </x:row>
    <x:row r="26" spans="1:8">
      <x:c r="A26" s="6" t="s">
        <x:v>56</x:v>
      </x:c>
      <x:c r="B26" s="7" t="s">
        <x:v>59</x:v>
      </x:c>
      <x:c r="C26" s="8" t="s">
        <x:v>60</x:v>
      </x:c>
      <x:c r="D26" s="9">
        <x:v>850</x:v>
      </x:c>
      <x:c r="E26" s="7" t="s">
        <x:v>53</x:v>
      </x:c>
      <x:c r="F26" s="10" t="s"/>
      <x:c r="G26" s="11"/>
      <x:c r="H26" s="11">
        <x:f>D26*G26</x:f>
      </x:c>
    </x:row>
    <x:row r="27" spans="1:8">
      <x:c r="A27" s="6" t="s">
        <x:v>56</x:v>
      </x:c>
      <x:c r="B27" s="7" t="s">
        <x:v>61</x:v>
      </x:c>
      <x:c r="C27" s="8" t="s">
        <x:v>62</x:v>
      </x:c>
      <x:c r="D27" s="9">
        <x:v>1200</x:v>
      </x:c>
      <x:c r="E27" s="7" t="s">
        <x:v>53</x:v>
      </x:c>
      <x:c r="F27" s="10" t="s"/>
      <x:c r="G27" s="11"/>
      <x:c r="H27" s="11">
        <x:f>D27*G27</x:f>
      </x:c>
    </x:row>
    <x:row r="28" spans="1:8">
      <x:c r="A28" s="6" t="s">
        <x:v>63</x:v>
      </x:c>
      <x:c r="B28" s="7" t="s">
        <x:v>64</x:v>
      </x:c>
      <x:c r="C28" s="8" t="s">
        <x:v>65</x:v>
      </x:c>
      <x:c r="D28" s="9">
        <x:v>4</x:v>
      </x:c>
      <x:c r="E28" s="7" t="s">
        <x:v>35</x:v>
      </x:c>
      <x:c r="F28" s="10" t="s"/>
      <x:c r="G28" s="11"/>
      <x:c r="H28" s="11">
        <x:f>D28*G28</x:f>
      </x:c>
    </x:row>
    <x:row r="29" spans="1:8">
      <x:c r="A29" s="6" t="s">
        <x:v>63</x:v>
      </x:c>
      <x:c r="B29" s="7" t="s">
        <x:v>66</x:v>
      </x:c>
      <x:c r="C29" s="8" t="s">
        <x:v>67</x:v>
      </x:c>
      <x:c r="D29" s="9">
        <x:v>1</x:v>
      </x:c>
      <x:c r="E29" s="7" t="s">
        <x:v>68</x:v>
      </x:c>
      <x:c r="F29" s="10" t="s"/>
      <x:c r="G29" s="11"/>
      <x:c r="H29" s="11">
        <x:f>D29*G29</x:f>
      </x:c>
    </x:row>
    <x:row r="30" spans="1:8">
      <x:c r="A30" s="6" t="s">
        <x:v>63</x:v>
      </x:c>
      <x:c r="B30" s="7" t="s">
        <x:v>69</x:v>
      </x:c>
      <x:c r="C30" s="8" t="s">
        <x:v>70</x:v>
      </x:c>
      <x:c r="D30" s="9">
        <x:v>60</x:v>
      </x:c>
      <x:c r="E30" s="7" t="s">
        <x:v>35</x:v>
      </x:c>
      <x:c r="F30" s="10" t="s"/>
      <x:c r="G30" s="11"/>
      <x:c r="H30" s="11">
        <x:f>D30*G30</x:f>
      </x:c>
    </x:row>
    <x:row r="31" spans="1:8">
      <x:c r="A31" s="6" t="s">
        <x:v>63</x:v>
      </x:c>
      <x:c r="B31" s="7" t="s">
        <x:v>71</x:v>
      </x:c>
      <x:c r="C31" s="8" t="s">
        <x:v>72</x:v>
      </x:c>
      <x:c r="D31" s="9">
        <x:v>95000</x:v>
      </x:c>
      <x:c r="E31" s="7" t="s">
        <x:v>32</x:v>
      </x:c>
      <x:c r="F31" s="10" t="s"/>
      <x:c r="G31" s="11"/>
      <x:c r="H31" s="11">
        <x:f>D31*G31</x:f>
      </x:c>
    </x:row>
    <x:row r="32" spans="1:8">
      <x:c r="A32" s="6" t="s">
        <x:v>63</x:v>
      </x:c>
      <x:c r="B32" s="7" t="s">
        <x:v>73</x:v>
      </x:c>
      <x:c r="C32" s="8" t="s">
        <x:v>74</x:v>
      </x:c>
      <x:c r="D32" s="9">
        <x:v>24</x:v>
      </x:c>
      <x:c r="E32" s="7" t="s">
        <x:v>35</x:v>
      </x:c>
      <x:c r="F32" s="10" t="s"/>
      <x:c r="G32" s="11"/>
      <x:c r="H32" s="11">
        <x:f>D32*G32</x:f>
      </x:c>
    </x:row>
    <x:row r="33" spans="1:8">
      <x:c r="A33" s="6" t="s">
        <x:v>75</x:v>
      </x:c>
      <x:c r="B33" s="7" t="s">
        <x:v>76</x:v>
      </x:c>
      <x:c r="C33" s="8" t="s">
        <x:v>77</x:v>
      </x:c>
      <x:c r="D33" s="9">
        <x:v>4</x:v>
      </x:c>
      <x:c r="E33" s="7" t="s">
        <x:v>35</x:v>
      </x:c>
      <x:c r="F33" s="10" t="s"/>
      <x:c r="G33" s="11"/>
      <x:c r="H33" s="11">
        <x:f>D33*G33</x:f>
      </x:c>
    </x:row>
    <x:row r="34" spans="1:8">
      <x:c r="A34" s="6" t="s">
        <x:v>75</x:v>
      </x:c>
      <x:c r="B34" s="7" t="s">
        <x:v>78</x:v>
      </x:c>
      <x:c r="C34" s="8" t="s">
        <x:v>79</x:v>
      </x:c>
      <x:c r="D34" s="9">
        <x:v>2</x:v>
      </x:c>
      <x:c r="E34" s="7" t="s">
        <x:v>35</x:v>
      </x:c>
      <x:c r="F34" s="10" t="s"/>
      <x:c r="G34" s="11"/>
      <x:c r="H34" s="11">
        <x:f>D34*G34</x:f>
      </x:c>
    </x:row>
    <x:row r="35" spans="1:8">
      <x:c r="A35" s="6" t="s">
        <x:v>75</x:v>
      </x:c>
      <x:c r="B35" s="7" t="s">
        <x:v>80</x:v>
      </x:c>
      <x:c r="C35" s="8" t="s">
        <x:v>81</x:v>
      </x:c>
      <x:c r="D35" s="9">
        <x:v>1</x:v>
      </x:c>
      <x:c r="E35" s="7" t="s">
        <x:v>68</x:v>
      </x:c>
      <x:c r="F35" s="10" t="s"/>
      <x:c r="G35" s="11"/>
      <x:c r="H35" s="11">
        <x:f>D35*G35</x:f>
      </x:c>
    </x:row>
    <x:row r="36" spans="1:8">
      <x:c r="A36" s="6" t="s">
        <x:v>75</x:v>
      </x:c>
      <x:c r="B36" s="7" t="s">
        <x:v>82</x:v>
      </x:c>
      <x:c r="C36" s="8" t="s">
        <x:v>83</x:v>
      </x:c>
      <x:c r="D36" s="9">
        <x:v>95000</x:v>
      </x:c>
      <x:c r="E36" s="7" t="s">
        <x:v>32</x:v>
      </x:c>
      <x:c r="F36" s="10" t="s"/>
      <x:c r="G36" s="11"/>
      <x:c r="H36" s="11">
        <x:f>D36*G36</x:f>
      </x:c>
    </x:row>
    <x:row r="37" spans="1:8">
      <x:c r="A37" s="6" t="s">
        <x:v>75</x:v>
      </x:c>
      <x:c r="B37" s="7" t="s">
        <x:v>84</x:v>
      </x:c>
      <x:c r="C37" s="8" t="s">
        <x:v>85</x:v>
      </x:c>
      <x:c r="D37" s="9">
        <x:v>1</x:v>
      </x:c>
      <x:c r="E37" s="7" t="s">
        <x:v>68</x:v>
      </x:c>
      <x:c r="F37" s="10" t="s"/>
      <x:c r="G37" s="11"/>
      <x:c r="H37" s="11">
        <x:f>D37*G37</x:f>
      </x:c>
    </x:row>
    <x:row r="38" spans="1:8">
      <x:c r="A38" s="6" t="s">
        <x:v>86</x:v>
      </x:c>
      <x:c r="B38" s="7" t="s">
        <x:v>87</x:v>
      </x:c>
      <x:c r="C38" s="8" t="s">
        <x:v>88</x:v>
      </x:c>
      <x:c r="D38" s="9">
        <x:v>42000</x:v>
      </x:c>
      <x:c r="E38" s="7" t="s">
        <x:v>32</x:v>
      </x:c>
      <x:c r="F38" s="10" t="s"/>
      <x:c r="G38" s="11"/>
      <x:c r="H38" s="11">
        <x:f>D38*G38</x:f>
      </x:c>
    </x:row>
    <x:row r="39" spans="1:8">
      <x:c r="A39" s="6" t="s">
        <x:v>86</x:v>
      </x:c>
      <x:c r="B39" s="7" t="s">
        <x:v>89</x:v>
      </x:c>
      <x:c r="C39" s="8" t="s">
        <x:v>90</x:v>
      </x:c>
      <x:c r="D39" s="9">
        <x:v>5500</x:v>
      </x:c>
      <x:c r="E39" s="7" t="s">
        <x:v>32</x:v>
      </x:c>
      <x:c r="F39" s="10" t="s"/>
      <x:c r="G39" s="11"/>
      <x:c r="H39" s="11">
        <x:f>D39*G39</x:f>
      </x:c>
    </x:row>
    <x:row r="40" spans="1:8">
      <x:c r="A40" s="6" t="s">
        <x:v>86</x:v>
      </x:c>
      <x:c r="B40" s="7" t="s">
        <x:v>91</x:v>
      </x:c>
      <x:c r="C40" s="8" t="s">
        <x:v>92</x:v>
      </x:c>
      <x:c r="D40" s="9">
        <x:v>1</x:v>
      </x:c>
      <x:c r="E40" s="7" t="s">
        <x:v>16</x:v>
      </x:c>
      <x:c r="F40" s="10" t="s"/>
      <x:c r="G40" s="11"/>
      <x:c r="H40" s="11">
        <x:f>D40*G40</x:f>
      </x:c>
    </x:row>
    <x:row r="41" spans="1:8">
      <x:c r="A41" s="6" t="s">
        <x:v>93</x:v>
      </x:c>
      <x:c r="B41" s="7" t="s">
        <x:v>94</x:v>
      </x:c>
      <x:c r="C41" s="8" t="s">
        <x:v>95</x:v>
      </x:c>
      <x:c r="D41" s="9">
        <x:v>3500</x:v>
      </x:c>
      <x:c r="E41" s="7" t="s">
        <x:v>32</x:v>
      </x:c>
      <x:c r="F41" s="10" t="s"/>
      <x:c r="G41" s="11"/>
      <x:c r="H41" s="11">
        <x:f>D41*G41</x:f>
      </x:c>
    </x:row>
    <x:row r="42" spans="1:8">
      <x:c r="A42" s="6" t="s">
        <x:v>93</x:v>
      </x:c>
      <x:c r="B42" s="7" t="s">
        <x:v>96</x:v>
      </x:c>
      <x:c r="C42" s="8" t="s">
        <x:v>97</x:v>
      </x:c>
      <x:c r="D42" s="9">
        <x:v>78000</x:v>
      </x:c>
      <x:c r="E42" s="7" t="s">
        <x:v>32</x:v>
      </x:c>
      <x:c r="F42" s="10" t="s"/>
      <x:c r="G42" s="11"/>
      <x:c r="H42" s="11">
        <x:f>D42*G42</x:f>
      </x:c>
    </x:row>
    <x:row r="43" spans="1:8">
      <x:c r="A43" s="6" t="s">
        <x:v>93</x:v>
      </x:c>
      <x:c r="B43" s="7" t="s">
        <x:v>98</x:v>
      </x:c>
      <x:c r="C43" s="8" t="s">
        <x:v>99</x:v>
      </x:c>
      <x:c r="D43" s="9">
        <x:v>12000</x:v>
      </x:c>
      <x:c r="E43" s="7" t="s">
        <x:v>32</x:v>
      </x:c>
      <x:c r="F43" s="10" t="s"/>
      <x:c r="G43" s="11"/>
      <x:c r="H43" s="11">
        <x:f>D43*G43</x:f>
      </x:c>
    </x:row>
    <x:row r="44" spans="1:8">
      <x:c r="A44" s="6" t="s">
        <x:v>93</x:v>
      </x:c>
      <x:c r="B44" s="7" t="s">
        <x:v>100</x:v>
      </x:c>
      <x:c r="C44" s="8" t="s">
        <x:v>101</x:v>
      </x:c>
      <x:c r="D44" s="9">
        <x:v>180000</x:v>
      </x:c>
      <x:c r="E44" s="7" t="s">
        <x:v>32</x:v>
      </x:c>
      <x:c r="F44" s="10" t="s"/>
      <x:c r="G44" s="11"/>
      <x:c r="H44" s="11">
        <x:f>D44*G44</x:f>
      </x:c>
    </x:row>
    <x:row r="45" spans="1:8">
      <x:c r="A45" s="6" t="s">
        <x:v>102</x:v>
      </x:c>
      <x:c r="B45" s="7" t="s">
        <x:v>103</x:v>
      </x:c>
      <x:c r="C45" s="8" t="s">
        <x:v>104</x:v>
      </x:c>
      <x:c r="D45" s="9">
        <x:v>8000</x:v>
      </x:c>
      <x:c r="E45" s="7" t="s">
        <x:v>32</x:v>
      </x:c>
      <x:c r="F45" s="10" t="s"/>
      <x:c r="G45" s="11"/>
      <x:c r="H45" s="11">
        <x:f>D45*G45</x:f>
      </x:c>
    </x:row>
    <x:row r="46" spans="1:8">
      <x:c r="A46" s="6" t="s">
        <x:v>102</x:v>
      </x:c>
      <x:c r="B46" s="7" t="s">
        <x:v>105</x:v>
      </x:c>
      <x:c r="C46" s="8" t="s">
        <x:v>106</x:v>
      </x:c>
      <x:c r="D46" s="9">
        <x:v>4500</x:v>
      </x:c>
      <x:c r="E46" s="7" t="s">
        <x:v>32</x:v>
      </x:c>
      <x:c r="F46" s="10" t="s"/>
      <x:c r="G46" s="11"/>
      <x:c r="H46" s="11">
        <x:f>D46*G46</x:f>
      </x:c>
    </x:row>
    <x:row r="47" spans="1:8">
      <x:c r="A47" s="6" t="s">
        <x:v>102</x:v>
      </x:c>
      <x:c r="B47" s="7" t="s">
        <x:v>107</x:v>
      </x:c>
      <x:c r="C47" s="8" t="s">
        <x:v>108</x:v>
      </x:c>
      <x:c r="D47" s="9">
        <x:v>2</x:v>
      </x:c>
      <x:c r="E47" s="7" t="s">
        <x:v>35</x:v>
      </x:c>
      <x:c r="F47" s="10" t="s"/>
      <x:c r="G47" s="11"/>
      <x:c r="H47" s="11">
        <x:f>D47*G47</x:f>
      </x:c>
    </x:row>
    <x:row r="48" spans="1:8">
      <x:c r="A48" s="6" t="s">
        <x:v>109</x:v>
      </x:c>
      <x:c r="B48" s="7" t="s">
        <x:v>110</x:v>
      </x:c>
      <x:c r="C48" s="8" t="s">
        <x:v>111</x:v>
      </x:c>
      <x:c r="D48" s="9">
        <x:v>1</x:v>
      </x:c>
      <x:c r="E48" s="7" t="s">
        <x:v>16</x:v>
      </x:c>
      <x:c r="F48" s="10" t="s"/>
      <x:c r="G48" s="11"/>
      <x:c r="H48" s="11">
        <x:f>D48*G48</x:f>
      </x:c>
    </x:row>
    <x:row r="49" spans="1:8">
      <x:c r="A49" s="6" t="s">
        <x:v>109</x:v>
      </x:c>
      <x:c r="B49" s="7" t="s">
        <x:v>112</x:v>
      </x:c>
      <x:c r="C49" s="8" t="s">
        <x:v>113</x:v>
      </x:c>
      <x:c r="D49" s="9">
        <x:v>1</x:v>
      </x:c>
      <x:c r="E49" s="7" t="s">
        <x:v>16</x:v>
      </x:c>
      <x:c r="F49" s="10" t="s"/>
      <x:c r="G49" s="11"/>
      <x:c r="H49" s="11">
        <x:f>D49*G49</x:f>
      </x:c>
    </x:row>
    <x:row r="50" spans="1:8">
      <x:c r="A50" s="6" t="s">
        <x:v>109</x:v>
      </x:c>
      <x:c r="B50" s="7" t="s">
        <x:v>114</x:v>
      </x:c>
      <x:c r="C50" s="8" t="s">
        <x:v>115</x:v>
      </x:c>
      <x:c r="D50" s="9">
        <x:v>1</x:v>
      </x:c>
      <x:c r="E50" s="7" t="s">
        <x:v>16</x:v>
      </x:c>
      <x:c r="F50" s="10" t="s"/>
      <x:c r="G50" s="11"/>
      <x:c r="H50" s="11">
        <x:f>D50*G50</x:f>
      </x:c>
    </x:row>
    <x:row r="52" spans="1:8">
      <x:c r="C52" s="12" t="s">
        <x:v>116</x:v>
      </x:c>
      <x:c r="H52" s="13">
        <x:f>SUM(H8:H50)</x:f>
      </x:c>
    </x:row>
    <x:row r="53" spans="1:8">
      <x:c r="B53" s="0">
        <x:f>COUNTA(B8:B50)</x:f>
      </x:c>
      <x:c r="C53" s="14" t="s">
        <x:v>117</x:v>
      </x:c>
    </x:row>
  </x:sheetData>
  <x:sheetProtection sheet="1" objects="1" formatColumns="0" formatRows="0"/>
  <x:autoFilter ref="A7:H50"/>
  <x:mergeCells count="2">
    <x:mergeCell ref="A1:H1"/>
    <x:mergeCell ref="A2:H2"/>
  </x:mergeCells>
  <x:conditionalFormatting sqref="G8:G50">
    <x:cfRule type="containsBlanks" dxfId="0" priority="1">
      <x:formula>LEN(TRIM(G8))=0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E8:E50">
      <x:formula1>sqft,m2,ea,job,lot,LS,nos,pcs,set,trip,lm,m,day,hr,month,week,m3,ltr,kg,ton</x:formula1>
      <x:formula2/>
    </x:dataValidation>
  </x:dataValidations>
  <x:printOptions horizontalCentered="0" verticalCentered="0" headings="0" gridLines="1"/>
  <x:pageMargins left="0.5" right="0.5" top="0.75" bottom="0.75" header="0.5" footer="0.7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&amp;LCONFIDENTIAL - FOR BIDDING PURPOSE ONLY</x:oddHeader>
    <x:oddFooter>&amp;CPage &amp;P of &amp;N</x:oddFooter>
    <x:evenHeader>&amp;LCONFIDENTIAL - FOR BIDDING PURPOSE ONLY</x:evenHeader>
    <x:evenFooter>&amp;CPage &amp;P of &amp;N</x:evenFooter>
    <x:firstHeader>&amp;LCONFIDENTIAL - FOR BIDDING PURPOSE ONLY</x:firstHeader>
    <x:firstFooter>&amp;CPage &amp;P of &amp;N</x:firstFooter>
  </x:headerFooter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7"/>
  <x:sheetViews>
    <x:sheetView workbookViewId="0"/>
  </x:sheetViews>
  <x:sheetFormatPr defaultRowHeight="15"/>
  <x:cols>
    <x:col min="1" max="1" width="60.710625" style="0" customWidth="1"/>
    <x:col min="2" max="2" width="20.710625" style="0" customWidth="1"/>
  </x:cols>
  <x:sheetData>
    <x:row r="1" spans="1:2">
      <x:c r="A1" s="1" t="s">
        <x:v>118</x:v>
      </x:c>
    </x:row>
    <x:row r="3" spans="1:2">
      <x:c r="A3" s="15" t="s">
        <x:v>119</x:v>
      </x:c>
    </x:row>
    <x:row r="4" spans="1:2">
      <x:c r="A4" s="15" t="s">
        <x:v>120</x:v>
      </x:c>
    </x:row>
    <x:row r="5" spans="1:2">
      <x:c r="A5" s="15" t="s">
        <x:v>121</x:v>
      </x:c>
    </x:row>
    <x:row r="6" spans="1:2">
      <x:c r="A6" s="15" t="s">
        <x:v>122</x:v>
      </x:c>
    </x:row>
    <x:row r="7" spans="1:2">
      <x:c r="A7" s="15" t="s">
        <x:v>123</x:v>
      </x:c>
    </x:row>
    <x:row r="8" spans="1:2">
      <x:c r="A8" s="15" t="s">
        <x:v>124</x:v>
      </x:c>
    </x:row>
    <x:row r="9" spans="1:2">
      <x:c r="A9" s="15" t="s">
        <x:v>125</x:v>
      </x:c>
    </x:row>
    <x:row r="10" spans="1:2">
      <x:c r="A10" s="15" t="s">
        <x:v>126</x:v>
      </x:c>
    </x:row>
    <x:row r="11" spans="1:2">
      <x:c r="A11" s="15" t="s">
        <x:v>127</x:v>
      </x:c>
    </x:row>
    <x:row r="12" spans="1:2">
      <x:c r="A12" s="15" t="s">
        <x:v>128</x:v>
      </x:c>
    </x:row>
    <x:row r="15" spans="1:2">
      <x:c r="A15" s="3" t="s">
        <x:v>129</x:v>
      </x:c>
    </x:row>
    <x:row r="16" spans="1:2">
      <x:c r="A16" s="0" t="s">
        <x:v>130</x:v>
      </x:c>
      <x:c r="B16" s="16"/>
    </x:row>
    <x:row r="17" spans="1:2">
      <x:c r="A17" s="0" t="s">
        <x:v>131</x:v>
      </x:c>
      <x:c r="B17" s="1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BOQ</vt:lpstr>
      <vt:lpstr>Instructions</vt:lpstr>
      <vt:lpstr>BOQ!Print_Area</vt:lpstr>
      <vt:lpstr>BOQ!Print_Titles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