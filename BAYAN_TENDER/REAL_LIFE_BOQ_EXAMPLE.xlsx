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showInkAnnotation="0"/>
  <xr:revisionPtr revIDLastSave="0" documentId="13_ncr:1_{69283B2C-D184-4B1B-BF74-730A9BCE3F0D}" xr6:coauthVersionLast="47" xr6:coauthVersionMax="47" xr10:uidLastSave="{00000000-0000-0000-0000-000000000000}"/>
  <bookViews>
    <workbookView xWindow="-120" yWindow="-120" windowWidth="29040" windowHeight="15720" xr2:uid="{00000000-000D-0000-FFFF-FFFF00000000}"/>
  </bookViews>
  <sheets>
    <sheet name="Cover" sheetId="4" r:id="rId1"/>
    <sheet name="BILL 1 TO 14" sheetId="2" r:id="rId2"/>
    <sheet name="SUMMARY" sheetId="3" r:id="rId3"/>
  </sheets>
  <definedNames>
    <definedName name="_xlnm.Print_Area" localSheetId="1">'BILL 1 TO 14'!$A$1:$F$751</definedName>
    <definedName name="_xlnm.Print_Area" localSheetId="0">Cover!$A$1:$E$48</definedName>
    <definedName name="_xlnm.Print_Area" localSheetId="2">SUMMARY!$A$1:$F$25</definedName>
    <definedName name="_xlnm.Print_Titles" localSheetId="1">'BILL 1 TO 14'!$1:$2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7" i="2" l="1"/>
  <c r="F276" i="2"/>
  <c r="F275" i="2"/>
  <c r="F274" i="2"/>
  <c r="F243" i="2"/>
  <c r="F122" i="2"/>
  <c r="F121" i="2"/>
  <c r="F680" i="2" l="1"/>
  <c r="F679" i="2"/>
  <c r="F678" i="2"/>
  <c r="F677" i="2"/>
  <c r="F676" i="2"/>
  <c r="F305" i="2"/>
  <c r="F304" i="2"/>
  <c r="F303" i="2"/>
  <c r="F302" i="2"/>
  <c r="F301" i="2"/>
  <c r="F300" i="2"/>
  <c r="F299" i="2"/>
  <c r="F298" i="2"/>
  <c r="F297" i="2"/>
  <c r="F296" i="2"/>
  <c r="F295" i="2"/>
  <c r="F294" i="2"/>
  <c r="F293" i="2"/>
  <c r="F292" i="2"/>
  <c r="F291" i="2"/>
  <c r="F290" i="2"/>
  <c r="F289" i="2"/>
  <c r="F288" i="2"/>
  <c r="F287" i="2"/>
  <c r="F286" i="2"/>
  <c r="F285" i="2"/>
  <c r="F284" i="2"/>
  <c r="F283" i="2"/>
  <c r="F282" i="2"/>
  <c r="F281" i="2"/>
  <c r="F280" i="2"/>
  <c r="F279" i="2"/>
  <c r="F191" i="2"/>
  <c r="F190" i="2"/>
  <c r="F189" i="2"/>
  <c r="F188" i="2"/>
  <c r="F187" i="2"/>
  <c r="F186" i="2"/>
  <c r="F185" i="2"/>
  <c r="F184" i="2"/>
  <c r="F183" i="2"/>
  <c r="F182" i="2"/>
  <c r="F181" i="2"/>
  <c r="F104" i="2"/>
  <c r="F103" i="2"/>
  <c r="F107" i="2"/>
  <c r="F106" i="2"/>
  <c r="F105" i="2"/>
  <c r="F102" i="2"/>
  <c r="F101" i="2"/>
  <c r="F154" i="2"/>
  <c r="F156" i="2"/>
  <c r="F686" i="2" l="1"/>
  <c r="F685" i="2"/>
  <c r="F684" i="2"/>
  <c r="F683" i="2"/>
  <c r="F682" i="2"/>
  <c r="F681" i="2"/>
  <c r="F675" i="2"/>
  <c r="F674" i="2"/>
  <c r="F673" i="2"/>
  <c r="F672" i="2"/>
  <c r="F687" i="2"/>
  <c r="F671" i="2"/>
  <c r="F670" i="2"/>
  <c r="F669" i="2"/>
  <c r="F668" i="2"/>
  <c r="F667" i="2"/>
  <c r="F666" i="2"/>
  <c r="F665" i="2"/>
  <c r="F664" i="2"/>
  <c r="F688" i="2" s="1"/>
  <c r="F661" i="2"/>
  <c r="F660" i="2"/>
  <c r="F659" i="2"/>
  <c r="F658" i="2"/>
  <c r="F657" i="2"/>
  <c r="F656" i="2"/>
  <c r="F655" i="2"/>
  <c r="F654" i="2"/>
  <c r="F653" i="2"/>
  <c r="F652" i="2"/>
  <c r="F651" i="2"/>
  <c r="F650" i="2"/>
  <c r="F649" i="2"/>
  <c r="F648" i="2"/>
  <c r="F647" i="2"/>
  <c r="F646" i="2"/>
  <c r="F645" i="2"/>
  <c r="F644" i="2"/>
  <c r="F643" i="2"/>
  <c r="F642" i="2"/>
  <c r="F641" i="2"/>
  <c r="F640" i="2"/>
  <c r="F639" i="2"/>
  <c r="F638" i="2"/>
  <c r="F637" i="2"/>
  <c r="F636" i="2"/>
  <c r="F635" i="2"/>
  <c r="F634" i="2"/>
  <c r="F633" i="2"/>
  <c r="F632" i="2"/>
  <c r="F631" i="2"/>
  <c r="F630" i="2"/>
  <c r="F629" i="2"/>
  <c r="F628" i="2"/>
  <c r="F627" i="2"/>
  <c r="F626" i="2"/>
  <c r="F625" i="2"/>
  <c r="F624" i="2"/>
  <c r="F623" i="2"/>
  <c r="F622" i="2"/>
  <c r="F621" i="2"/>
  <c r="F620" i="2"/>
  <c r="F619" i="2"/>
  <c r="F618" i="2"/>
  <c r="F617" i="2"/>
  <c r="F616" i="2"/>
  <c r="F615" i="2"/>
  <c r="F614" i="2"/>
  <c r="F613" i="2"/>
  <c r="F612" i="2"/>
  <c r="F611" i="2"/>
  <c r="F610" i="2"/>
  <c r="F609" i="2"/>
  <c r="F608" i="2"/>
  <c r="F607" i="2"/>
  <c r="F606" i="2"/>
  <c r="F605" i="2"/>
  <c r="F604" i="2"/>
  <c r="F603" i="2"/>
  <c r="F602" i="2"/>
  <c r="F601" i="2"/>
  <c r="F600" i="2"/>
  <c r="F599" i="2"/>
  <c r="F598" i="2"/>
  <c r="F597" i="2"/>
  <c r="F596" i="2"/>
  <c r="F595" i="2"/>
  <c r="F594" i="2"/>
  <c r="F593" i="2"/>
  <c r="F592" i="2"/>
  <c r="F591" i="2"/>
  <c r="F590" i="2"/>
  <c r="F589" i="2"/>
  <c r="F588" i="2"/>
  <c r="F587" i="2"/>
  <c r="F586" i="2"/>
  <c r="F585" i="2"/>
  <c r="F584" i="2"/>
  <c r="F583" i="2"/>
  <c r="F582" i="2"/>
  <c r="F581" i="2"/>
  <c r="F580" i="2"/>
  <c r="F579" i="2"/>
  <c r="F578" i="2"/>
  <c r="F577" i="2"/>
  <c r="F576" i="2"/>
  <c r="F575" i="2"/>
  <c r="F574" i="2"/>
  <c r="F573" i="2"/>
  <c r="F572" i="2"/>
  <c r="F571" i="2"/>
  <c r="F570" i="2"/>
  <c r="F569" i="2"/>
  <c r="F568" i="2"/>
  <c r="F567" i="2"/>
  <c r="F566" i="2"/>
  <c r="F565" i="2"/>
  <c r="F564" i="2"/>
  <c r="F563" i="2"/>
  <c r="F562" i="2"/>
  <c r="F561" i="2"/>
  <c r="F560" i="2"/>
  <c r="F559" i="2"/>
  <c r="F558" i="2"/>
  <c r="F557" i="2"/>
  <c r="F556" i="2"/>
  <c r="F555" i="2"/>
  <c r="F554" i="2"/>
  <c r="F553" i="2"/>
  <c r="F552" i="2"/>
  <c r="F551" i="2"/>
  <c r="F550" i="2"/>
  <c r="F549" i="2"/>
  <c r="F548" i="2"/>
  <c r="F547" i="2"/>
  <c r="F546" i="2"/>
  <c r="F545" i="2"/>
  <c r="F544" i="2"/>
  <c r="F543" i="2"/>
  <c r="F542" i="2"/>
  <c r="F541" i="2"/>
  <c r="F540" i="2"/>
  <c r="F539" i="2"/>
  <c r="F538" i="2"/>
  <c r="F537" i="2"/>
  <c r="F535" i="2"/>
  <c r="F534" i="2"/>
  <c r="F533" i="2"/>
  <c r="F531" i="2"/>
  <c r="F530" i="2"/>
  <c r="F529" i="2"/>
  <c r="F528" i="2"/>
  <c r="F527" i="2"/>
  <c r="F526" i="2"/>
  <c r="F525" i="2"/>
  <c r="F524" i="2"/>
  <c r="F523" i="2"/>
  <c r="F522" i="2"/>
  <c r="F521" i="2"/>
  <c r="F520" i="2"/>
  <c r="F519" i="2"/>
  <c r="F518" i="2"/>
  <c r="F517" i="2"/>
  <c r="F516" i="2"/>
  <c r="F515" i="2"/>
  <c r="F514" i="2"/>
  <c r="F513" i="2"/>
  <c r="F510" i="2"/>
  <c r="F509" i="2"/>
  <c r="F508" i="2"/>
  <c r="F507" i="2"/>
  <c r="F506" i="2"/>
  <c r="F505" i="2"/>
  <c r="F504" i="2"/>
  <c r="F503" i="2"/>
  <c r="F502" i="2"/>
  <c r="F501" i="2"/>
  <c r="F500" i="2"/>
  <c r="F499" i="2"/>
  <c r="F498" i="2"/>
  <c r="F497" i="2"/>
  <c r="F496" i="2"/>
  <c r="F495" i="2"/>
  <c r="F494" i="2"/>
  <c r="F493" i="2"/>
  <c r="F492" i="2"/>
  <c r="F491" i="2"/>
  <c r="F490" i="2"/>
  <c r="F489" i="2"/>
  <c r="F488" i="2"/>
  <c r="F487" i="2"/>
  <c r="F486" i="2"/>
  <c r="F485" i="2"/>
  <c r="F484" i="2"/>
  <c r="F483" i="2"/>
  <c r="F482" i="2"/>
  <c r="F481" i="2"/>
  <c r="F480" i="2"/>
  <c r="F479" i="2"/>
  <c r="F478" i="2"/>
  <c r="F477" i="2"/>
  <c r="F476" i="2"/>
  <c r="F475" i="2"/>
  <c r="F474" i="2"/>
  <c r="F473"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4" i="2"/>
  <c r="F443"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72" i="2"/>
  <c r="F370" i="2"/>
  <c r="F369" i="2"/>
  <c r="F368" i="2"/>
  <c r="F367" i="2"/>
  <c r="F366" i="2"/>
  <c r="F365" i="2"/>
  <c r="F364" i="2"/>
  <c r="F363" i="2"/>
  <c r="F12" i="3" l="1"/>
  <c r="F511" i="2"/>
  <c r="F10" i="3" s="1"/>
  <c r="F662" i="2"/>
  <c r="F11" i="3" s="1"/>
  <c r="F265" i="2" l="1"/>
  <c r="F263" i="2" l="1"/>
  <c r="F261" i="2" l="1"/>
  <c r="F260" i="2"/>
  <c r="F208" i="2"/>
  <c r="F207" i="2"/>
  <c r="F206" i="2"/>
  <c r="F205" i="2"/>
  <c r="F204" i="2" l="1"/>
  <c r="F203" i="2"/>
  <c r="F202" i="2"/>
  <c r="F201" i="2"/>
  <c r="F200" i="2"/>
  <c r="F199" i="2"/>
  <c r="F198" i="2"/>
  <c r="F197" i="2"/>
  <c r="F196" i="2"/>
  <c r="F146" i="2" l="1"/>
  <c r="F145" i="2"/>
  <c r="F144" i="2"/>
  <c r="F143" i="2"/>
  <c r="F142" i="2"/>
  <c r="F141" i="2"/>
  <c r="F140" i="2"/>
  <c r="F139" i="2"/>
  <c r="F138" i="2"/>
  <c r="F137" i="2"/>
  <c r="F136" i="2"/>
  <c r="F135" i="2"/>
  <c r="F134" i="2"/>
  <c r="F133" i="2"/>
  <c r="F132" i="2"/>
  <c r="F131" i="2"/>
  <c r="F130" i="2"/>
  <c r="F129" i="2"/>
  <c r="F128" i="2"/>
  <c r="F713" i="2"/>
  <c r="F155" i="2" l="1"/>
  <c r="F150" i="2"/>
  <c r="F278" i="2"/>
  <c r="F221" i="2"/>
  <c r="F220" i="2"/>
  <c r="F357" i="2"/>
  <c r="F356" i="2"/>
  <c r="F269" i="2" l="1"/>
  <c r="F264" i="2" l="1"/>
  <c r="F262" i="2"/>
  <c r="F240" i="2" l="1"/>
  <c r="F239" i="2"/>
  <c r="F238" i="2"/>
  <c r="F237" i="2"/>
  <c r="F236" i="2"/>
  <c r="F235" i="2"/>
  <c r="F249" i="2"/>
  <c r="F248" i="2"/>
  <c r="F247" i="2"/>
  <c r="F246" i="2"/>
  <c r="F245" i="2"/>
  <c r="F244" i="2"/>
  <c r="F195" i="2"/>
  <c r="F718" i="2" l="1"/>
  <c r="F719" i="2"/>
  <c r="F720" i="2"/>
  <c r="F717" i="2"/>
  <c r="F716" i="2"/>
  <c r="F715" i="2"/>
  <c r="F714" i="2"/>
  <c r="F712" i="2"/>
  <c r="F711" i="2"/>
  <c r="F710" i="2"/>
  <c r="F709" i="2"/>
  <c r="F708" i="2"/>
  <c r="F707" i="2"/>
  <c r="F696" i="2"/>
  <c r="F695" i="2"/>
  <c r="F694" i="2"/>
  <c r="F693" i="2"/>
  <c r="F692" i="2"/>
  <c r="F691" i="2"/>
  <c r="F690" i="2"/>
  <c r="F358" i="2"/>
  <c r="F705" i="2" l="1"/>
  <c r="F13" i="3" s="1"/>
  <c r="F721" i="2"/>
  <c r="F14" i="3" s="1"/>
  <c r="F354" i="2"/>
  <c r="F353" i="2"/>
  <c r="F352" i="2"/>
  <c r="F351" i="2"/>
  <c r="F350" i="2"/>
  <c r="F349" i="2"/>
  <c r="F348" i="2"/>
  <c r="F347" i="2"/>
  <c r="F346" i="2"/>
  <c r="F345" i="2"/>
  <c r="F344" i="2"/>
  <c r="F343" i="2"/>
  <c r="F342" i="2"/>
  <c r="F341" i="2"/>
  <c r="F340" i="2"/>
  <c r="F339" i="2"/>
  <c r="F338" i="2"/>
  <c r="F337" i="2"/>
  <c r="F336" i="2"/>
  <c r="F335" i="2"/>
  <c r="F334" i="2"/>
  <c r="F333" i="2"/>
  <c r="F332" i="2"/>
  <c r="F331" i="2"/>
  <c r="F330" i="2"/>
  <c r="F329" i="2"/>
  <c r="F328" i="2"/>
  <c r="F327" i="2"/>
  <c r="F326" i="2"/>
  <c r="F325" i="2"/>
  <c r="F324" i="2"/>
  <c r="F323" i="2"/>
  <c r="F322" i="2"/>
  <c r="F321" i="2"/>
  <c r="F320" i="2"/>
  <c r="F319" i="2"/>
  <c r="F318" i="2"/>
  <c r="F316" i="2"/>
  <c r="F315" i="2"/>
  <c r="F314" i="2"/>
  <c r="F313" i="2"/>
  <c r="F312" i="2"/>
  <c r="F311" i="2"/>
  <c r="F310" i="2"/>
  <c r="F309" i="2"/>
  <c r="F112" i="2" l="1"/>
  <c r="F113" i="2"/>
  <c r="F114" i="2"/>
  <c r="F115" i="2"/>
  <c r="F116" i="2"/>
  <c r="F117" i="2"/>
  <c r="F118" i="2"/>
  <c r="F119" i="2"/>
  <c r="F120" i="2"/>
  <c r="F123" i="2"/>
  <c r="F124" i="2"/>
  <c r="F125" i="2"/>
  <c r="F177" i="2"/>
  <c r="F178" i="2"/>
  <c r="F179" i="2"/>
  <c r="F266" i="2"/>
  <c r="F272" i="2" l="1"/>
  <c r="F273" i="2"/>
  <c r="F176" i="2"/>
  <c r="F175" i="2"/>
  <c r="F174" i="2"/>
  <c r="F723" i="2" l="1"/>
  <c r="F724" i="2"/>
  <c r="F725" i="2"/>
  <c r="F726" i="2"/>
  <c r="F727" i="2"/>
  <c r="F728" i="2"/>
  <c r="F730" i="2"/>
  <c r="F731" i="2"/>
  <c r="F733" i="2" s="1"/>
  <c r="F732" i="2"/>
  <c r="F734" i="2"/>
  <c r="F735" i="2"/>
  <c r="F737" i="2" s="1"/>
  <c r="F736" i="2"/>
  <c r="F738" i="2"/>
  <c r="F739" i="2"/>
  <c r="F741" i="2" s="1"/>
  <c r="F740" i="2"/>
  <c r="F742" i="2"/>
  <c r="F743" i="2"/>
  <c r="F745" i="2" s="1"/>
  <c r="F744" i="2"/>
  <c r="F746" i="2"/>
  <c r="F747" i="2"/>
  <c r="F749" i="2" s="1"/>
  <c r="F748" i="2"/>
  <c r="F750" i="2"/>
  <c r="F729" i="2" l="1"/>
  <c r="F751" i="2" s="1"/>
  <c r="F159" i="2"/>
  <c r="F157" i="2"/>
  <c r="F158" i="2"/>
  <c r="F160" i="2"/>
  <c r="F161" i="2"/>
  <c r="F126" i="2"/>
  <c r="F127" i="2"/>
  <c r="F355" i="2" l="1"/>
  <c r="F89" i="2" l="1"/>
  <c r="F76" i="2"/>
  <c r="F77" i="2"/>
  <c r="F78" i="2"/>
  <c r="F79" i="2"/>
  <c r="F80" i="2"/>
  <c r="F81" i="2"/>
  <c r="F359" i="2" l="1"/>
  <c r="F360" i="2"/>
  <c r="F227" i="2" l="1"/>
  <c r="F226" i="2"/>
  <c r="F225" i="2"/>
  <c r="F224" i="2"/>
  <c r="F223" i="2"/>
  <c r="F228" i="2"/>
  <c r="F167" i="2"/>
  <c r="F165" i="2"/>
  <c r="F166" i="2"/>
  <c r="F168" i="2"/>
  <c r="F169" i="2"/>
  <c r="F151" i="2"/>
  <c r="F152" i="2"/>
  <c r="F153" i="2"/>
  <c r="F162" i="2"/>
  <c r="F163" i="2"/>
  <c r="F164" i="2"/>
  <c r="F268" i="2" l="1"/>
  <c r="F229" i="2"/>
  <c r="F222" i="2"/>
  <c r="F230" i="2"/>
  <c r="F231" i="2"/>
  <c r="F108" i="2"/>
  <c r="F100" i="2"/>
  <c r="F67" i="2" l="1"/>
  <c r="F66" i="2"/>
  <c r="F65" i="2"/>
  <c r="F68" i="2"/>
  <c r="F40" i="2"/>
  <c r="F42" i="2"/>
  <c r="F41" i="2"/>
  <c r="F44" i="2"/>
  <c r="F43" i="2"/>
  <c r="F57" i="2"/>
  <c r="F56" i="2"/>
  <c r="F59" i="2"/>
  <c r="F58" i="2"/>
  <c r="F61" i="2"/>
  <c r="F60" i="2"/>
  <c r="F63" i="2"/>
  <c r="F62" i="2"/>
  <c r="F64"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69" i="2" l="1"/>
  <c r="F90" i="2"/>
  <c r="F82" i="2"/>
  <c r="F271" i="2"/>
  <c r="F252" i="2"/>
  <c r="F253" i="2"/>
  <c r="F254" i="2"/>
  <c r="F255" i="2"/>
  <c r="F256" i="2"/>
  <c r="F257" i="2"/>
  <c r="F258" i="2"/>
  <c r="F259" i="2"/>
  <c r="F267" i="2"/>
  <c r="F270" i="2"/>
  <c r="F210" i="2"/>
  <c r="F211" i="2"/>
  <c r="F212" i="2"/>
  <c r="F213" i="2"/>
  <c r="F215" i="2"/>
  <c r="F216" i="2"/>
  <c r="F217" i="2"/>
  <c r="F218" i="2"/>
  <c r="F219" i="2"/>
  <c r="F192" i="2"/>
  <c r="F180" i="2"/>
  <c r="F173" i="2"/>
  <c r="F172" i="2"/>
  <c r="F170" i="2"/>
  <c r="F94" i="2"/>
  <c r="F95" i="2"/>
  <c r="F96" i="2"/>
  <c r="F97" i="2"/>
  <c r="F98" i="2"/>
  <c r="F99" i="2"/>
  <c r="F71" i="2"/>
  <c r="F72" i="2"/>
  <c r="F73" i="2"/>
  <c r="F74" i="2"/>
  <c r="F75" i="2"/>
  <c r="F84" i="2"/>
  <c r="F85" i="2"/>
  <c r="F86" i="2"/>
  <c r="F87" i="2"/>
  <c r="F88" i="2"/>
  <c r="F83" i="2"/>
  <c r="F91" i="2"/>
  <c r="F92" i="2"/>
  <c r="F93" i="2"/>
  <c r="F147" i="2"/>
  <c r="F111" i="2"/>
  <c r="F306" i="2" l="1"/>
  <c r="F148" i="2"/>
  <c r="F232" i="2"/>
  <c r="F193" i="2"/>
  <c r="F109" i="2"/>
  <c r="F2" i="3"/>
  <c r="F361" i="2" l="1"/>
  <c r="F15" i="3" l="1"/>
  <c r="F6" i="3" l="1"/>
  <c r="F5" i="3" l="1"/>
  <c r="F8" i="3" l="1"/>
  <c r="F4" i="3" l="1"/>
  <c r="F7" i="3" l="1"/>
  <c r="F3" i="3"/>
  <c r="F9" i="3" l="1"/>
  <c r="F16" i="3" s="1"/>
  <c r="F18" i="3" s="1"/>
</calcChain>
</file>

<file path=xl/sharedStrings.xml><?xml version="1.0" encoding="utf-8"?>
<sst xmlns="http://schemas.openxmlformats.org/spreadsheetml/2006/main" count="1379" uniqueCount="655">
  <si>
    <t>Unit</t>
  </si>
  <si>
    <t>RM</t>
  </si>
  <si>
    <t>Paint and Identification</t>
  </si>
  <si>
    <t>Testing and Commissioning</t>
  </si>
  <si>
    <t>20mm dia</t>
  </si>
  <si>
    <t>25mm dia</t>
  </si>
  <si>
    <t>32mm dia</t>
  </si>
  <si>
    <t>50mm dia</t>
  </si>
  <si>
    <t>75mm dia</t>
  </si>
  <si>
    <t>110mm dia</t>
  </si>
  <si>
    <t>15mm dia pipe &amp; conduits</t>
  </si>
  <si>
    <t>20mm dia pipe &amp; conduits</t>
  </si>
  <si>
    <t>20mm dia. Elbow box</t>
  </si>
  <si>
    <t>15mm dia. Elbow box</t>
  </si>
  <si>
    <t>15mm diameter angle valve</t>
  </si>
  <si>
    <t>40mm dia</t>
  </si>
  <si>
    <t>65mm dia</t>
  </si>
  <si>
    <t>80mm dia</t>
  </si>
  <si>
    <t>Hose Union Bib Taps</t>
  </si>
  <si>
    <t>Automatic Air Vent Valves</t>
  </si>
  <si>
    <t>Pressure Reducing Valves</t>
  </si>
  <si>
    <t>Ball Float valves</t>
  </si>
  <si>
    <t>Flexible Tubes</t>
  </si>
  <si>
    <t xml:space="preserve">Automatic switch for O.H water tanks </t>
  </si>
  <si>
    <t>80 ltrs. Electric water heater</t>
  </si>
  <si>
    <t xml:space="preserve"> 150mm dia</t>
  </si>
  <si>
    <t>160mm dia</t>
  </si>
  <si>
    <t xml:space="preserve">F.I.C Manhole </t>
  </si>
  <si>
    <t>Manhole covers and frames 600x600 mm</t>
  </si>
  <si>
    <t xml:space="preserve">Gully Traps as specified 300x300 WITH COVER </t>
  </si>
  <si>
    <t>All drain with sand Bucket in green area.</t>
  </si>
  <si>
    <t>Floor clean out with covers (S/S-316).</t>
  </si>
  <si>
    <t>Floor trap with covers (S/S-316).</t>
  </si>
  <si>
    <t>Rain water free discharge Auto shutter (S/S-316).</t>
  </si>
  <si>
    <t xml:space="preserve">Rain water outlet </t>
  </si>
  <si>
    <t>Vent  Cowl</t>
  </si>
  <si>
    <t>Water closet</t>
  </si>
  <si>
    <t>Wash basin</t>
  </si>
  <si>
    <t>Kitchen sink</t>
  </si>
  <si>
    <t xml:space="preserve">Bath Tub </t>
  </si>
  <si>
    <t>Shower tray</t>
  </si>
  <si>
    <t>Allow for fire department connection, complete as per Civil Defense regulations</t>
  </si>
  <si>
    <t>Allow  for all necessary linking between the sprinkler zone control valve tamper switch with the fire panel</t>
  </si>
  <si>
    <t>ANY OTHER CABLE SIZE MENTIONED ON THE DRAWING</t>
  </si>
  <si>
    <t>Provide and install heavy duty cable trays with purpose made accessories and supports. As per drawing  and specifications.</t>
  </si>
  <si>
    <t xml:space="preserve">Concrete pit with removable cover  </t>
  </si>
  <si>
    <t xml:space="preserve">Allow for other miscellaneous work in connection with the earthing system  </t>
  </si>
  <si>
    <t xml:space="preserve">Cable and conduit in concealed installations </t>
  </si>
  <si>
    <t xml:space="preserve">Lighting points, generally </t>
  </si>
  <si>
    <t xml:space="preserve">Lighting switch points </t>
  </si>
  <si>
    <t xml:space="preserve">Electrical Services for mechanical works </t>
  </si>
  <si>
    <t xml:space="preserve">Empty conduit and draw wires between Ex.fan and controls of AC systems ( for wiring by others)  </t>
  </si>
  <si>
    <t>Empty conduit and draw wires between sensors and controls of AC systems ( for wiring by others)</t>
  </si>
  <si>
    <t>Ceiling mounted Emergency Light Fixture</t>
  </si>
  <si>
    <t>Fire rated cables to distribution board</t>
  </si>
  <si>
    <t>Distribution Boards</t>
  </si>
  <si>
    <t>Easy check panels</t>
  </si>
  <si>
    <t>Communication cable</t>
  </si>
  <si>
    <t>Addressable Fire Alarm Control Panels and repeater as per approved shop dwg</t>
  </si>
  <si>
    <t>Heat Detector with Base</t>
  </si>
  <si>
    <t>Optical Smoke Sensor with Sounder</t>
  </si>
  <si>
    <t>Fire alarm Bell W/P</t>
  </si>
  <si>
    <t>Break Glass Unit</t>
  </si>
  <si>
    <t>Sundry/General Items</t>
  </si>
  <si>
    <t xml:space="preserve">Allow for fire stopping and fire sealed around all services vertical / horizontal and  all electrical openings in accordance with the drawings, specification and local authorities requirements </t>
  </si>
  <si>
    <t xml:space="preserve">Allow for all builders work in connection with providing holes, sleeves, mortises, chases, supports and the like and making good </t>
  </si>
  <si>
    <t xml:space="preserve">Allow for plates, labels, protective painting etc., and for the identification of the installation as specified </t>
  </si>
  <si>
    <t xml:space="preserve">Allow for testing and commissioning as specified </t>
  </si>
  <si>
    <t xml:space="preserve">Allow for protective and decorative painting/powder coated for final DBS enclosures </t>
  </si>
  <si>
    <t>PROVISIONAL SUMS</t>
  </si>
  <si>
    <t>Add for builders works</t>
  </si>
  <si>
    <t>PRELIMINARIES</t>
  </si>
  <si>
    <t>SUB-STRUCTURE</t>
  </si>
  <si>
    <t>SUPER-STRUCTURE</t>
  </si>
  <si>
    <t>BLOCKWORK</t>
  </si>
  <si>
    <t>MECHANICAL WORKS</t>
  </si>
  <si>
    <t>ELECTRICAL SYSTEM</t>
  </si>
  <si>
    <t>Total Bill No. 2 Carried To Collection</t>
  </si>
  <si>
    <t>Total Bill No. 3 Carried To Collection</t>
  </si>
  <si>
    <t xml:space="preserve">BILL NO. 2   :   SUB-STRUCTURE </t>
  </si>
  <si>
    <t>Description of Works</t>
  </si>
  <si>
    <t xml:space="preserve">BILL NO. 3   :   SUPER-STRUCTURE </t>
  </si>
  <si>
    <t xml:space="preserve">BILL NO. 4   :  BLOCK WORKS </t>
  </si>
  <si>
    <t>Total Bill No. 4 Carried To Collection</t>
  </si>
  <si>
    <t>Total Bill No. 5 Carried To Collection</t>
  </si>
  <si>
    <t xml:space="preserve">BILL NO. 6    :  CARPENTRY &amp; JOINERY WORKS  </t>
  </si>
  <si>
    <t>Total Bill No. 6 Carried To Collection</t>
  </si>
  <si>
    <t>Total Bill No. 7 Carried To Collection</t>
  </si>
  <si>
    <t xml:space="preserve">BILL NO. 8    :  FINISHING WORKS </t>
  </si>
  <si>
    <t xml:space="preserve">BILL NO. 7    :  METAL &amp; GLAZING  WORKS  </t>
  </si>
  <si>
    <t>Total Bill No. 8 Carried To Collection</t>
  </si>
  <si>
    <t>Total Bill No. 9 Carried To Collection</t>
  </si>
  <si>
    <t>Empty conduits and draw wires between FCU's and thermostats also between C.U and Isolators  (for wiring by AC contractor)</t>
  </si>
  <si>
    <t>Total Bill No. 11 Carried To Collection</t>
  </si>
  <si>
    <t xml:space="preserve">METAL &amp; GLAZING WORKS </t>
  </si>
  <si>
    <t>FINISHING WORKS</t>
  </si>
  <si>
    <t>BILL NO. 5   :  WATER PROOFING  WORKS</t>
  </si>
  <si>
    <t>WATERPROOFING WORKS</t>
  </si>
  <si>
    <t>Total Bill No. 10 Carried To Collection</t>
  </si>
  <si>
    <t xml:space="preserve">  </t>
  </si>
  <si>
    <t>L.S.</t>
  </si>
  <si>
    <t>L.S</t>
  </si>
  <si>
    <t xml:space="preserve">BILL NO. 9    : MECHANICAL  WORKS  </t>
  </si>
  <si>
    <t>BILL NO. 10   : ELECTRICAL WORKS</t>
  </si>
  <si>
    <t>LS</t>
  </si>
  <si>
    <t>QTY</t>
  </si>
  <si>
    <t>RATE
( AED )</t>
  </si>
  <si>
    <t>a</t>
  </si>
  <si>
    <t>b</t>
  </si>
  <si>
    <t>c</t>
  </si>
  <si>
    <t>d</t>
  </si>
  <si>
    <t>m</t>
  </si>
  <si>
    <t>M</t>
  </si>
  <si>
    <r>
      <t xml:space="preserve">Refilling with Approved result of excavation, or Imported </t>
    </r>
    <r>
      <rPr>
        <b/>
        <sz val="10"/>
        <color theme="1"/>
        <rFont val="Arial"/>
        <family val="2"/>
      </rPr>
      <t>Back Fill</t>
    </r>
    <r>
      <rPr>
        <sz val="10"/>
        <color theme="1"/>
        <rFont val="Arial"/>
        <family val="2"/>
      </rPr>
      <t xml:space="preserve"> (up to tie beam level) as directed by the Engineer </t>
    </r>
  </si>
  <si>
    <r>
      <t>m</t>
    </r>
    <r>
      <rPr>
        <vertAlign val="superscript"/>
        <sz val="11"/>
        <rFont val="Arial"/>
        <family val="2"/>
      </rPr>
      <t>2</t>
    </r>
  </si>
  <si>
    <r>
      <rPr>
        <b/>
        <sz val="10"/>
        <color rgb="FF0070C0"/>
        <rFont val="Arial"/>
        <family val="2"/>
      </rPr>
      <t>Horizontal Surfaces:</t>
    </r>
    <r>
      <rPr>
        <sz val="10"/>
        <color rgb="FF0070C0"/>
        <rFont val="Arial"/>
        <family val="2"/>
      </rPr>
      <t xml:space="preserve">
One-layer 4mm SBS Water Proofing Membrane + Protection Screed as per specifications</t>
    </r>
  </si>
  <si>
    <r>
      <rPr>
        <b/>
        <sz val="10"/>
        <color rgb="FF0070C0"/>
        <rFont val="Arial"/>
        <family val="2"/>
      </rPr>
      <t>Vertical Surfaces:</t>
    </r>
    <r>
      <rPr>
        <sz val="10"/>
        <color rgb="FF0070C0"/>
        <rFont val="Arial"/>
        <family val="2"/>
      </rPr>
      <t xml:space="preserve">
One-layer 4mm SBS Water Proofing Membrane + Protection Board as per specifications</t>
    </r>
  </si>
  <si>
    <t xml:space="preserve">100 mm thick </t>
  </si>
  <si>
    <t xml:space="preserve">150 mm thick </t>
  </si>
  <si>
    <t xml:space="preserve">200 mm thick </t>
  </si>
  <si>
    <r>
      <t xml:space="preserve">Supply &amp; Apply </t>
    </r>
    <r>
      <rPr>
        <b/>
        <sz val="10"/>
        <color theme="1"/>
        <rFont val="Arial"/>
        <family val="2"/>
      </rPr>
      <t>Acrylic, Cementitious Waterproof</t>
    </r>
    <r>
      <rPr>
        <sz val="10"/>
        <color theme="1"/>
        <rFont val="Arial"/>
        <family val="2"/>
      </rPr>
      <t xml:space="preserve"> behind all types of Cladding &amp; Curtain wall as per elevation finishing , including Balconies and All Exposed Areas on Elevation, as per specifications</t>
    </r>
  </si>
  <si>
    <t>Supply and fix the following  Doors and Gates  with all associated works complete as specified and to Engineer's approval as shown in  Schedules, with Glazing, framing, Louvers, accessories, handles… etc.:</t>
  </si>
  <si>
    <t>Supply &amp; Install Thermal Break Windows as per Specifications, Arch Drawings &amp; Engineer Approval. Complete with Accessories:</t>
  </si>
  <si>
    <r>
      <t xml:space="preserve">Supply &amp; Install Galvanized Steel Powder Coated Painted </t>
    </r>
    <r>
      <rPr>
        <b/>
        <sz val="11"/>
        <color theme="1"/>
        <rFont val="Arial"/>
        <family val="2"/>
      </rPr>
      <t>Cat ladder</t>
    </r>
    <r>
      <rPr>
        <sz val="11"/>
        <color theme="1"/>
        <rFont val="Arial"/>
        <family val="2"/>
      </rPr>
      <t>, with all necessary Structural Support as per Specifications &amp; arch drawings, design is upon shop drawings approval &amp; client approval.</t>
    </r>
  </si>
  <si>
    <t>e</t>
  </si>
  <si>
    <t>f</t>
  </si>
  <si>
    <t>g</t>
  </si>
  <si>
    <t>h</t>
  </si>
  <si>
    <t>i</t>
  </si>
  <si>
    <t>F2</t>
  </si>
  <si>
    <t>F1</t>
  </si>
  <si>
    <t>F3</t>
  </si>
  <si>
    <t>F4</t>
  </si>
  <si>
    <t>F5</t>
  </si>
  <si>
    <t>F6</t>
  </si>
  <si>
    <t>S2</t>
  </si>
  <si>
    <t>S1</t>
  </si>
  <si>
    <t>S3</t>
  </si>
  <si>
    <t>S4</t>
  </si>
  <si>
    <t>W3</t>
  </si>
  <si>
    <t>W2</t>
  </si>
  <si>
    <t>W4</t>
  </si>
  <si>
    <t>W5</t>
  </si>
  <si>
    <t>W6</t>
  </si>
  <si>
    <t>C1</t>
  </si>
  <si>
    <t>C2</t>
  </si>
  <si>
    <t>FC1</t>
  </si>
  <si>
    <t>FC2</t>
  </si>
  <si>
    <t>A/C machines and Fans:</t>
  </si>
  <si>
    <t>A</t>
  </si>
  <si>
    <r>
      <t xml:space="preserve">Split Duct:
</t>
    </r>
    <r>
      <rPr>
        <sz val="11"/>
        <rFont val="Arial"/>
        <family val="2"/>
      </rPr>
      <t>Supply and installation of split duct machines R-410.</t>
    </r>
  </si>
  <si>
    <t>B</t>
  </si>
  <si>
    <r>
      <t xml:space="preserve">Split Decorative:
</t>
    </r>
    <r>
      <rPr>
        <sz val="11"/>
        <rFont val="Arial"/>
        <family val="2"/>
      </rPr>
      <t>Supply and installation of split decorative machines R-410.</t>
    </r>
  </si>
  <si>
    <t>C</t>
  </si>
  <si>
    <r>
      <t xml:space="preserve">VRF System:
</t>
    </r>
    <r>
      <rPr>
        <sz val="11"/>
        <rFont val="Arial"/>
        <family val="2"/>
      </rPr>
      <t>Supply and installation of VRF system R410 as mentioned on the drawing.</t>
    </r>
  </si>
  <si>
    <t>D</t>
  </si>
  <si>
    <t>E</t>
  </si>
  <si>
    <r>
      <t xml:space="preserve">Smoke Air Fans :
</t>
    </r>
    <r>
      <rPr>
        <sz val="11"/>
        <rFont val="Arial"/>
        <family val="2"/>
      </rPr>
      <t>Supply and installation of Smoke Air Fans for Smoke Management System (As Per Civil Defense Regulation and approved drawing).</t>
    </r>
  </si>
  <si>
    <t>F</t>
  </si>
  <si>
    <r>
      <t xml:space="preserve">Make-up (Fresh) Air Fans :
</t>
    </r>
    <r>
      <rPr>
        <sz val="11"/>
        <rFont val="Arial"/>
        <family val="2"/>
      </rPr>
      <t>Supply and installation of Make-up (Fresh) Air Fans for Smoke Management System (As Per Civil Defense Regulation and approved drawing).</t>
    </r>
  </si>
  <si>
    <t>G</t>
  </si>
  <si>
    <t>H</t>
  </si>
  <si>
    <r>
      <t xml:space="preserve">Wall mounted Exhaust fans :
</t>
    </r>
    <r>
      <rPr>
        <sz val="11"/>
        <rFont val="Arial"/>
        <family val="2"/>
      </rPr>
      <t>Supply and installation of Wall mounted Exhaust fans</t>
    </r>
  </si>
  <si>
    <t>I</t>
  </si>
  <si>
    <r>
      <rPr>
        <sz val="11"/>
        <color rgb="FF0070C0"/>
        <rFont val="Arial"/>
        <family val="2"/>
      </rPr>
      <t>A/C Refrigerant Copper pipes:</t>
    </r>
    <r>
      <rPr>
        <sz val="11"/>
        <rFont val="Arial"/>
        <family val="2"/>
      </rPr>
      <t xml:space="preserve">
Supply and installation of A/C Refrigerant cooper pipes work including Y connections, bends, fitting accessories, insulation, etc., completed with insulation as specs.</t>
    </r>
  </si>
  <si>
    <t>J</t>
  </si>
  <si>
    <r>
      <rPr>
        <sz val="11"/>
        <color rgb="FF0070C0"/>
        <rFont val="Arial"/>
        <family val="2"/>
      </rPr>
      <t>Controls and Monitoring System:</t>
    </r>
    <r>
      <rPr>
        <sz val="11"/>
        <color theme="1"/>
        <rFont val="Arial"/>
        <family val="2"/>
      </rPr>
      <t xml:space="preserve">
Supply and installation of controls and monitoring system for VFR, FAHU and AHU </t>
    </r>
  </si>
  <si>
    <r>
      <rPr>
        <b/>
        <u/>
        <sz val="11"/>
        <rFont val="Arial"/>
        <family val="2"/>
      </rPr>
      <t>G.I sheet duct:</t>
    </r>
    <r>
      <rPr>
        <b/>
        <sz val="11"/>
        <rFont val="Arial"/>
        <family val="2"/>
      </rPr>
      <t xml:space="preserve">
Supply , fabricate and install G.I sheet duct including volume splitter rod and dampers, access panels, supporting system, and connections complete in accordance with the specification</t>
    </r>
  </si>
  <si>
    <r>
      <rPr>
        <sz val="11"/>
        <color rgb="FF0070C0"/>
        <rFont val="Arial"/>
        <family val="2"/>
      </rPr>
      <t>Supply &amp; return air ductwork:</t>
    </r>
    <r>
      <rPr>
        <sz val="11"/>
        <rFont val="Arial"/>
        <family val="2"/>
      </rPr>
      <t xml:space="preserve">
Supply and installation of Supply &amp; return air ductwork</t>
    </r>
  </si>
  <si>
    <r>
      <rPr>
        <sz val="11"/>
        <color rgb="FF0070C0"/>
        <rFont val="Arial"/>
        <family val="2"/>
      </rPr>
      <t>Fresh air ductwork:</t>
    </r>
    <r>
      <rPr>
        <sz val="11"/>
        <rFont val="Arial"/>
        <family val="2"/>
      </rPr>
      <t xml:space="preserve">
Supply and installation of Fresh air ductwork</t>
    </r>
  </si>
  <si>
    <r>
      <rPr>
        <sz val="11"/>
        <color rgb="FF0070C0"/>
        <rFont val="Arial"/>
        <family val="2"/>
      </rPr>
      <t>Exhaust air ductwork:</t>
    </r>
    <r>
      <rPr>
        <sz val="11"/>
        <rFont val="Arial"/>
        <family val="2"/>
      </rPr>
      <t xml:space="preserve">
Supply and installation of Exhaust air ductwork</t>
    </r>
  </si>
  <si>
    <r>
      <rPr>
        <sz val="11"/>
        <color rgb="FF0070C0"/>
        <rFont val="Arial"/>
        <family val="2"/>
      </rPr>
      <t>Supply &amp; Return air duct insulation:</t>
    </r>
    <r>
      <rPr>
        <sz val="11"/>
        <rFont val="Arial"/>
        <family val="2"/>
      </rPr>
      <t xml:space="preserve">
Supply and installation of Supply &amp; Return air duct insulation</t>
    </r>
  </si>
  <si>
    <r>
      <rPr>
        <sz val="11"/>
        <color rgb="FF0070C0"/>
        <rFont val="Arial"/>
        <family val="2"/>
      </rPr>
      <t>Acoustic linear:</t>
    </r>
    <r>
      <rPr>
        <sz val="11"/>
        <rFont val="Arial"/>
        <family val="2"/>
      </rPr>
      <t xml:space="preserve">
Supply and installation of Acoustic linear to duct work(where specified or required)</t>
    </r>
  </si>
  <si>
    <r>
      <rPr>
        <sz val="11"/>
        <color rgb="FF0070C0"/>
        <rFont val="Arial"/>
        <family val="2"/>
      </rPr>
      <t>Smoke Air Duct:</t>
    </r>
    <r>
      <rPr>
        <sz val="11"/>
        <rFont val="Arial"/>
        <family val="2"/>
      </rPr>
      <t xml:space="preserve">
Supply and installation of Smoke Air Duct (Fire Rated) as per Civil Defense Rules.</t>
    </r>
  </si>
  <si>
    <r>
      <rPr>
        <sz val="11"/>
        <color rgb="FF0070C0"/>
        <rFont val="Arial"/>
        <family val="2"/>
      </rPr>
      <t>Make-Up Air Duct:</t>
    </r>
    <r>
      <rPr>
        <sz val="11"/>
        <rFont val="Arial"/>
        <family val="2"/>
      </rPr>
      <t xml:space="preserve">
Supply and installation of Make-Up Air Duct  (Fire Rated) as per Civil Defense Rules.</t>
    </r>
  </si>
  <si>
    <r>
      <rPr>
        <sz val="11"/>
        <color rgb="FF0070C0"/>
        <rFont val="Arial"/>
        <family val="2"/>
      </rPr>
      <t>Aluminum Cladding:</t>
    </r>
    <r>
      <rPr>
        <sz val="11"/>
        <rFont val="Arial"/>
        <family val="2"/>
      </rPr>
      <t xml:space="preserve">
Supply and installation of Aluminum Cladding for all External Air ducts.</t>
    </r>
  </si>
  <si>
    <r>
      <rPr>
        <sz val="11"/>
        <color rgb="FF0070C0"/>
        <rFont val="Arial"/>
        <family val="2"/>
      </rPr>
      <t xml:space="preserve">Volume control dampers: </t>
    </r>
    <r>
      <rPr>
        <sz val="11"/>
        <rFont val="Arial"/>
        <family val="2"/>
      </rPr>
      <t xml:space="preserve">
Supply and installation of Volume control dampers (VCD)</t>
    </r>
  </si>
  <si>
    <r>
      <rPr>
        <sz val="11"/>
        <color rgb="FF0070C0"/>
        <rFont val="Arial"/>
        <family val="2"/>
      </rPr>
      <t>Fire dampers:</t>
    </r>
    <r>
      <rPr>
        <sz val="11"/>
        <rFont val="Arial"/>
        <family val="2"/>
      </rPr>
      <t xml:space="preserve">
Supply and installation of Fire dampers (FD)</t>
    </r>
  </si>
  <si>
    <t>K</t>
  </si>
  <si>
    <r>
      <rPr>
        <sz val="11"/>
        <color rgb="FF0070C0"/>
        <rFont val="Arial"/>
        <family val="2"/>
      </rPr>
      <t>Motorized Damper:</t>
    </r>
    <r>
      <rPr>
        <sz val="11"/>
        <rFont val="Arial"/>
        <family val="2"/>
      </rPr>
      <t xml:space="preserve">
Supply and installation of Motorized Damper </t>
    </r>
  </si>
  <si>
    <t>L</t>
  </si>
  <si>
    <r>
      <rPr>
        <sz val="11"/>
        <color rgb="FF0070C0"/>
        <rFont val="Arial"/>
        <family val="2"/>
      </rPr>
      <t>Digital controller:</t>
    </r>
    <r>
      <rPr>
        <sz val="11"/>
        <rFont val="Arial"/>
        <family val="2"/>
      </rPr>
      <t xml:space="preserve">
Supply and installation of Digital controller (machine thermostat)</t>
    </r>
  </si>
  <si>
    <r>
      <rPr>
        <sz val="11"/>
        <color rgb="FF0070C0"/>
        <rFont val="Arial"/>
        <family val="2"/>
      </rPr>
      <t>Digital controller:</t>
    </r>
    <r>
      <rPr>
        <sz val="11"/>
        <color theme="1"/>
        <rFont val="Arial"/>
        <family val="2"/>
      </rPr>
      <t xml:space="preserve">
Supply and installation of Digital controller and master thermostat for VRF system</t>
    </r>
  </si>
  <si>
    <t>N</t>
  </si>
  <si>
    <r>
      <rPr>
        <sz val="11"/>
        <color rgb="FF0070C0"/>
        <rFont val="Arial"/>
        <family val="2"/>
      </rPr>
      <t>Cable Tray:</t>
    </r>
    <r>
      <rPr>
        <sz val="11"/>
        <color theme="1"/>
        <rFont val="Arial"/>
        <family val="2"/>
      </rPr>
      <t xml:space="preserve">
Supply and installation all cable tray for all Ref. pipes on the roof with cover </t>
    </r>
  </si>
  <si>
    <t>O</t>
  </si>
  <si>
    <r>
      <rPr>
        <sz val="11"/>
        <color rgb="FF0070C0"/>
        <rFont val="Arial"/>
        <family val="2"/>
      </rPr>
      <t>Diffusers, Registers, Grilles and Louvers:</t>
    </r>
    <r>
      <rPr>
        <sz val="11"/>
        <rFont val="Arial"/>
        <family val="2"/>
      </rPr>
      <t xml:space="preserve">
Supply &amp; install Diffusers, Registers, grilles and louvers in accordance with specification and drawings.</t>
    </r>
  </si>
  <si>
    <t>P</t>
  </si>
  <si>
    <r>
      <rPr>
        <sz val="11"/>
        <color rgb="FF0070C0"/>
        <rFont val="Arial"/>
        <family val="2"/>
      </rPr>
      <t>Diffusers:</t>
    </r>
    <r>
      <rPr>
        <sz val="11"/>
        <rFont val="Arial"/>
        <family val="2"/>
      </rPr>
      <t xml:space="preserve">
Supply and installation of Supply &amp; Return Air Diffusers (Square, Round, Jet Diffuser) as shown on the drawing.</t>
    </r>
  </si>
  <si>
    <t>Q</t>
  </si>
  <si>
    <r>
      <rPr>
        <sz val="11"/>
        <color rgb="FF0070C0"/>
        <rFont val="Arial"/>
        <family val="2"/>
      </rPr>
      <t>Grilles:</t>
    </r>
    <r>
      <rPr>
        <sz val="11"/>
        <rFont val="Arial"/>
        <family val="2"/>
      </rPr>
      <t xml:space="preserve">
Supply and installation of Supply &amp; Return Air Grilles as mentioned on the drawing.</t>
    </r>
  </si>
  <si>
    <t>R</t>
  </si>
  <si>
    <t>Allow for Shop Drawings, material Submittal, Operation &amp; Maintenance Manuals.</t>
  </si>
  <si>
    <t>S</t>
  </si>
  <si>
    <r>
      <rPr>
        <sz val="11"/>
        <color rgb="FF0070C0"/>
        <rFont val="Arial"/>
        <family val="2"/>
      </rPr>
      <t>Air Curtin:</t>
    </r>
    <r>
      <rPr>
        <sz val="11"/>
        <rFont val="Arial"/>
        <family val="2"/>
      </rPr>
      <t xml:space="preserve">
Supply and installation of Air Curtin for main entrance (For all Automatic  Sliding Doors even not mentioned on the drawing)</t>
    </r>
  </si>
  <si>
    <t>T</t>
  </si>
  <si>
    <t>U</t>
  </si>
  <si>
    <t>Domestic Cold and Hot Water System:</t>
  </si>
  <si>
    <r>
      <rPr>
        <b/>
        <u/>
        <sz val="11"/>
        <rFont val="Arial"/>
        <family val="2"/>
      </rPr>
      <t>PPR  Pipes:</t>
    </r>
    <r>
      <rPr>
        <b/>
        <sz val="11"/>
        <rFont val="Arial"/>
        <family val="2"/>
      </rPr>
      <t xml:space="preserve">
PPR  pipes shall comply with DIN 8077 &amp; 8078 DVGW inside Toilet ,Kitchen and bathroom above false ceiling with fittings including hangers, supports and accessories all in accordance with drawings and specifications </t>
    </r>
  </si>
  <si>
    <t>Supply and installed of PPR with insulation at Roof and all exposed areas.</t>
  </si>
  <si>
    <r>
      <rPr>
        <b/>
        <u/>
        <sz val="11"/>
        <rFont val="Arial"/>
        <family val="2"/>
      </rPr>
      <t>Pex Pipes:</t>
    </r>
    <r>
      <rPr>
        <b/>
        <sz val="11"/>
        <rFont val="Arial"/>
        <family val="2"/>
      </rPr>
      <t xml:space="preserve">
Supply and installation of PEX pipes, conduits and wall elbows with all accessories.</t>
    </r>
  </si>
  <si>
    <r>
      <t xml:space="preserve">Angle Valves:
</t>
    </r>
    <r>
      <rPr>
        <b/>
        <sz val="11"/>
        <color theme="1"/>
        <rFont val="Arial"/>
        <family val="2"/>
      </rPr>
      <t>All Angle valves for completed system complete as specified</t>
    </r>
  </si>
  <si>
    <t>20mm diameter angle valve</t>
  </si>
  <si>
    <t>65 mm diameter angle valve</t>
  </si>
  <si>
    <t>80 mm diameter angle valve</t>
  </si>
  <si>
    <t>110mm diameter angle valve</t>
  </si>
  <si>
    <r>
      <rPr>
        <sz val="11"/>
        <color rgb="FF0070C0"/>
        <rFont val="Arial"/>
        <family val="2"/>
      </rPr>
      <t>Other Dim. Mentioned on the drawing:</t>
    </r>
    <r>
      <rPr>
        <sz val="11"/>
        <color theme="1"/>
        <rFont val="Arial"/>
        <family val="2"/>
      </rPr>
      <t xml:space="preserve">
UPVC  high pressure pipe work to BS 3505 class "E" with solvent welded fittings for underground main incoming and up to underground tank all in accordance with drawings and specifications 
</t>
    </r>
  </si>
  <si>
    <r>
      <rPr>
        <b/>
        <u/>
        <sz val="11"/>
        <color theme="1"/>
        <rFont val="Arial"/>
        <family val="2"/>
      </rPr>
      <t>Gate Valves:</t>
    </r>
    <r>
      <rPr>
        <b/>
        <sz val="11"/>
        <color theme="1"/>
        <rFont val="Arial"/>
        <family val="2"/>
      </rPr>
      <t xml:space="preserve">
Supply and install the following bronze full way gate valves to BS 5154 as specified.</t>
    </r>
  </si>
  <si>
    <t>Allow for the followings:</t>
  </si>
  <si>
    <r>
      <rPr>
        <b/>
        <u/>
        <sz val="11"/>
        <color theme="1"/>
        <rFont val="Arial"/>
        <family val="2"/>
      </rPr>
      <t>Electric water Heater:</t>
    </r>
    <r>
      <rPr>
        <b/>
        <sz val="11"/>
        <color theme="1"/>
        <rFont val="Arial"/>
        <family val="2"/>
      </rPr>
      <t xml:space="preserve">
Electric water Heater glass lined, with all valves, fittings and accessories as per drawing and specifications.</t>
    </r>
  </si>
  <si>
    <t>50 ltrs. Electric water heater</t>
  </si>
  <si>
    <r>
      <rPr>
        <b/>
        <u/>
        <sz val="11"/>
        <rFont val="Arial"/>
        <family val="2"/>
      </rPr>
      <t>Water Meters Cabinet:</t>
    </r>
    <r>
      <rPr>
        <b/>
        <sz val="11"/>
        <rFont val="Arial"/>
        <family val="2"/>
      </rPr>
      <t xml:space="preserve">
Water meters cabinet with valves with all valves as per SEWA approval</t>
    </r>
  </si>
  <si>
    <r>
      <t xml:space="preserve">Equipment:
</t>
    </r>
    <r>
      <rPr>
        <b/>
        <sz val="11"/>
        <rFont val="Arial"/>
        <family val="2"/>
      </rPr>
      <t>Supply and installation of Domestic Water pumps with control panel,  valves, interconnecting pipe work, all in accordance with the drawing and specifications</t>
    </r>
  </si>
  <si>
    <r>
      <t xml:space="preserve">Booster Pumps:
</t>
    </r>
    <r>
      <rPr>
        <sz val="11"/>
        <rFont val="Arial"/>
        <family val="2"/>
      </rPr>
      <t>Supply and installation of Booster pumps including pressure vessel, 2nos in         (1 duty + 1 standby) with variable speed drive, control panel and all related accessories covered with aluminum louver.</t>
    </r>
  </si>
  <si>
    <t>SET</t>
  </si>
  <si>
    <r>
      <t xml:space="preserve">Transfer Pump:
</t>
    </r>
    <r>
      <rPr>
        <sz val="11"/>
        <rFont val="Arial"/>
        <family val="2"/>
      </rPr>
      <t>Supply and installation of Cold water Transfer pump set (1 duty+1 stand by) for automatic operation and specifications of duty with control panels and all related accessories.</t>
    </r>
  </si>
  <si>
    <r>
      <rPr>
        <sz val="11"/>
        <color rgb="FF0070C0"/>
        <rFont val="Arial"/>
        <family val="2"/>
      </rPr>
      <t>GRP Panel Overhead Water Tanks:</t>
    </r>
    <r>
      <rPr>
        <sz val="11"/>
        <color theme="1"/>
        <rFont val="Arial"/>
        <family val="2"/>
      </rPr>
      <t xml:space="preserve">
Supply and installation of GRP panel overhead water tanks capacity as per approved drawings with all related accessories and automatic float switch as per project specification</t>
    </r>
  </si>
  <si>
    <r>
      <t xml:space="preserve">Sanitary Wares:
</t>
    </r>
    <r>
      <rPr>
        <sz val="11"/>
        <rFont val="Arial"/>
        <family val="2"/>
      </rPr>
      <t>Install and fixing Sanitary wares (As per client approval) with its Accessories for complete implementation (installation only include fixing to structures, connecting to water supply and waste lines with all related final stage ) All Valves and fittings under plumbing  contractor scope of work )</t>
    </r>
  </si>
  <si>
    <t>Drainage and Waste Water Pipe Work:</t>
  </si>
  <si>
    <r>
      <rPr>
        <b/>
        <u/>
        <sz val="11"/>
        <color theme="1"/>
        <rFont val="Arial"/>
        <family val="2"/>
      </rPr>
      <t>Underground Drainage and Stack Pipe:</t>
    </r>
    <r>
      <rPr>
        <b/>
        <sz val="11"/>
        <color theme="1"/>
        <rFont val="Arial"/>
        <family val="2"/>
      </rPr>
      <t xml:space="preserve">
Supply and install the following underground drainage and stack pipe to complete with all fittings ie. Elbows, Tee bend etc.., &amp; accessories, supports, solvents and lubricants etc,all in accordance with the drawings and specifications</t>
    </r>
  </si>
  <si>
    <t xml:space="preserve"> 75 mm dia</t>
  </si>
  <si>
    <t> 110 mm dia</t>
  </si>
  <si>
    <r>
      <rPr>
        <b/>
        <u/>
        <sz val="11"/>
        <color theme="1"/>
        <rFont val="Arial"/>
        <family val="2"/>
      </rPr>
      <t>U.P.V.C. pipe work;</t>
    </r>
    <r>
      <rPr>
        <b/>
        <sz val="11"/>
        <color theme="1"/>
        <rFont val="Arial"/>
        <family val="2"/>
      </rPr>
      <t xml:space="preserve">
Supply and install the following U.P.V.C. pipe work for above ground soil, waste condensate drain, rain water and vent installations to BS 4514&amp; BS 5255 with all accessories, fittings, ie. Elbows, tee bends, etc. supports, sleeves etc. all in accordance with the drawings and specifications.</t>
    </r>
  </si>
  <si>
    <r>
      <rPr>
        <b/>
        <u/>
        <sz val="11"/>
        <color theme="1"/>
        <rFont val="Arial"/>
        <family val="2"/>
      </rPr>
      <t>Manhole Covers (HD):</t>
    </r>
    <r>
      <rPr>
        <b/>
        <sz val="11"/>
        <color theme="1"/>
        <rFont val="Arial"/>
        <family val="2"/>
      </rPr>
      <t xml:space="preserve">
Supply and install the manhole covers 
(HD) and frames as shown on the drawings and as per standards</t>
    </r>
  </si>
  <si>
    <t xml:space="preserve">NEUTRALIZATION MH </t>
  </si>
  <si>
    <t xml:space="preserve">Grease Trap -Class C </t>
  </si>
  <si>
    <r>
      <rPr>
        <b/>
        <u/>
        <sz val="11"/>
        <color theme="1"/>
        <rFont val="Arial"/>
        <family val="2"/>
      </rPr>
      <t>Drainage Fittings and Accessories:</t>
    </r>
    <r>
      <rPr>
        <b/>
        <sz val="11"/>
        <color theme="1"/>
        <rFont val="Arial"/>
        <family val="2"/>
      </rPr>
      <t xml:space="preserve">
Install sanitary drainage fittings and accessories, all in accordance with the specification</t>
    </r>
  </si>
  <si>
    <r>
      <rPr>
        <b/>
        <u/>
        <sz val="11"/>
        <color theme="1"/>
        <rFont val="Arial"/>
        <family val="2"/>
      </rPr>
      <t>Sanitary Ware Fixtures:</t>
    </r>
    <r>
      <rPr>
        <b/>
        <sz val="11"/>
        <color theme="1"/>
        <rFont val="Arial"/>
        <family val="2"/>
      </rPr>
      <t xml:space="preserve">
Install the following sanitary ware fixtures and toilet accessories, complete with necessary plumbing accessories, taps, mixers, traps etc. including all necessary connections to service, fixings, fittings all European made complete all in accordance with the specifications and drawings</t>
    </r>
  </si>
  <si>
    <t>Fire Fighting Installations:</t>
  </si>
  <si>
    <r>
      <rPr>
        <b/>
        <u/>
        <sz val="11"/>
        <color theme="1"/>
        <rFont val="Arial"/>
        <family val="2"/>
      </rPr>
      <t>Firefighting System:</t>
    </r>
    <r>
      <rPr>
        <b/>
        <sz val="11"/>
        <color theme="1"/>
        <rFont val="Arial"/>
        <family val="2"/>
      </rPr>
      <t xml:space="preserve">
Supply and install the whole firefighting system, complete as specified shown and detailed on drawings and to the approval of the engineer and civil defense approval</t>
    </r>
  </si>
  <si>
    <r>
      <rPr>
        <sz val="11"/>
        <color rgb="FF0070C0"/>
        <rFont val="Arial"/>
        <family val="2"/>
      </rPr>
      <t>Pipe Connections to the Water Tank:</t>
    </r>
    <r>
      <rPr>
        <sz val="11"/>
        <color theme="1"/>
        <rFont val="Arial"/>
        <family val="2"/>
      </rPr>
      <t xml:space="preserve">
Allow  for all necessary pipe connections to the water tank including buddle flange and accessories complete as specified</t>
    </r>
  </si>
  <si>
    <r>
      <rPr>
        <sz val="11"/>
        <color rgb="FF0070C0"/>
        <rFont val="Arial"/>
        <family val="2"/>
      </rPr>
      <t>Linking Between the Firefighting System and the Garbage Chute:</t>
    </r>
    <r>
      <rPr>
        <sz val="11"/>
        <color theme="1"/>
        <rFont val="Arial"/>
        <family val="2"/>
      </rPr>
      <t xml:space="preserve">
Allow for all necessary linking between the firefighting system and the garbage chute including all necessary piping and sprinklers complete as specified </t>
    </r>
  </si>
  <si>
    <r>
      <rPr>
        <sz val="11"/>
        <color rgb="FF0070C0"/>
        <rFont val="Arial"/>
        <family val="2"/>
      </rPr>
      <t>VERTICAL TURBINE Fire Pump:</t>
    </r>
    <r>
      <rPr>
        <sz val="11"/>
        <color theme="1"/>
        <rFont val="Arial"/>
        <family val="2"/>
      </rPr>
      <t xml:space="preserve">
Supply and installation of VERTICAL TURBINE fire pump set consist of electrical pump, diesel pump, jockey pump and pressure tank. (UL/FM) the electrical and diesel pump having a capacity as per DCD approved drawing and the jockey pump as per DCD approved drawing. The set complete with motor controls, safety controls and all accessories. completed UL/FM Approval</t>
    </r>
  </si>
  <si>
    <r>
      <rPr>
        <sz val="11"/>
        <color rgb="FF0070C0"/>
        <rFont val="Arial"/>
        <family val="2"/>
      </rPr>
      <t>HDPE Pipes:</t>
    </r>
    <r>
      <rPr>
        <sz val="11"/>
        <color theme="1"/>
        <rFont val="Arial"/>
        <family val="2"/>
      </rPr>
      <t xml:space="preserve">
Supply and installation of HDPE pipes complete with all accessories (underground).</t>
    </r>
  </si>
  <si>
    <r>
      <rPr>
        <sz val="11"/>
        <color rgb="FF0070C0"/>
        <rFont val="Arial"/>
        <family val="2"/>
      </rPr>
      <t>Fire Hose Cabinet:</t>
    </r>
    <r>
      <rPr>
        <sz val="11"/>
        <color theme="1"/>
        <rFont val="Arial"/>
        <family val="2"/>
      </rPr>
      <t xml:space="preserve">
Supply and installation of all fire hose cabinet complete with valves and all accessories according to the specifications and the drawings.</t>
    </r>
  </si>
  <si>
    <r>
      <rPr>
        <sz val="11"/>
        <color rgb="FF0070C0"/>
        <rFont val="Arial"/>
        <family val="2"/>
      </rPr>
      <t>6kg Manual Portable Dry Chemical Fire Extinguishers:</t>
    </r>
    <r>
      <rPr>
        <sz val="11"/>
        <color theme="1"/>
        <rFont val="Arial"/>
        <family val="2"/>
      </rPr>
      <t xml:space="preserve">
Supply and installation of 6kg manual portable dry chemical fire extinguishers complete with all accessories according to the specifications and the drawings.</t>
    </r>
  </si>
  <si>
    <r>
      <rPr>
        <sz val="11"/>
        <color rgb="FF0070C0"/>
        <rFont val="Arial"/>
        <family val="2"/>
      </rPr>
      <t>FM 200 System:</t>
    </r>
    <r>
      <rPr>
        <sz val="11"/>
        <color theme="1"/>
        <rFont val="Arial"/>
        <family val="2"/>
      </rPr>
      <t xml:space="preserve">
Supply and Install FM 200 System for all service rooms required as per CD Regulation and Approval</t>
    </r>
  </si>
  <si>
    <t>Low Voltage Distribution:</t>
  </si>
  <si>
    <r>
      <rPr>
        <sz val="11"/>
        <color rgb="FF0070C0"/>
        <rFont val="Arial"/>
        <family val="2"/>
      </rPr>
      <t>Main Distribution Panel:</t>
    </r>
    <r>
      <rPr>
        <sz val="11"/>
        <rFont val="Arial"/>
        <family val="2"/>
      </rPr>
      <t xml:space="preserve"> 
Supply, install, test and connect all Main panel board MDBs completed with all components as per SEWA regulation.  </t>
    </r>
  </si>
  <si>
    <r>
      <rPr>
        <sz val="11"/>
        <color rgb="FF0070C0"/>
        <rFont val="Arial"/>
        <family val="2"/>
      </rPr>
      <t>Sub-Main Distribution Panels:</t>
    </r>
    <r>
      <rPr>
        <sz val="11"/>
        <rFont val="Arial"/>
        <family val="2"/>
      </rPr>
      <t xml:space="preserve">
Supply, install, test and connect all SMDBs completed with all components as per SEWA regulation.  </t>
    </r>
  </si>
  <si>
    <r>
      <rPr>
        <sz val="11"/>
        <color rgb="FF0070C0"/>
        <rFont val="Arial"/>
        <family val="2"/>
      </rPr>
      <t>Distribution Panels:</t>
    </r>
    <r>
      <rPr>
        <sz val="11"/>
        <rFont val="Arial"/>
        <family val="2"/>
      </rPr>
      <t xml:space="preserve">
Supply, install, test and connect all DBS completed with all component as per SEWA regulation. .</t>
    </r>
  </si>
  <si>
    <r>
      <rPr>
        <sz val="11"/>
        <color rgb="FF0070C0"/>
        <rFont val="Arial"/>
        <family val="2"/>
      </rPr>
      <t>Capacitor banks:</t>
    </r>
    <r>
      <rPr>
        <sz val="11"/>
        <rFont val="Arial"/>
        <family val="2"/>
      </rPr>
      <t xml:space="preserve">
Supply and installation of Capacitor banks </t>
    </r>
  </si>
  <si>
    <t>Supply and install all Elec. Cables</t>
  </si>
  <si>
    <t>From Trans. Former to MDBs as shown in the drawings</t>
  </si>
  <si>
    <t>From MDB to all SMDBs as shown in the drawings</t>
  </si>
  <si>
    <t>From SMDBs to all DBs as shown in the drawings</t>
  </si>
  <si>
    <r>
      <rPr>
        <b/>
        <u/>
        <sz val="11"/>
        <color theme="1"/>
        <rFont val="Arial"/>
        <family val="2"/>
      </rPr>
      <t>Electrical Isolators</t>
    </r>
    <r>
      <rPr>
        <b/>
        <sz val="11"/>
        <color theme="1"/>
        <rFont val="Arial"/>
        <family val="2"/>
      </rPr>
      <t xml:space="preserve">
Supply and Install Disconnect Switches (Isolators) (W/P ) IP- 65 all in accordance with specification section including all interconnecting cables, wires, trays, conduits and terminations, complete as specified 
</t>
    </r>
  </si>
  <si>
    <t>LIFT</t>
  </si>
  <si>
    <t>GSM ROOM (if any )</t>
  </si>
  <si>
    <t>TELE ROOM</t>
  </si>
  <si>
    <t>BOOSTER PUMPS</t>
  </si>
  <si>
    <t>TRANSFER PUMP</t>
  </si>
  <si>
    <t>FIRE PUMP</t>
  </si>
  <si>
    <t>A/C machines isolator</t>
  </si>
  <si>
    <t>Fan isolators</t>
  </si>
  <si>
    <t xml:space="preserve">Include the electrical isolators for the Mechanical equipment (if any) </t>
  </si>
  <si>
    <t>Kilo-watt-hour meter:</t>
  </si>
  <si>
    <t>Allow for fixing only of KWH meters</t>
  </si>
  <si>
    <r>
      <t xml:space="preserve">FEEDERS
</t>
    </r>
    <r>
      <rPr>
        <b/>
        <sz val="11"/>
        <color theme="1"/>
        <rFont val="Arial"/>
        <family val="2"/>
      </rPr>
      <t>Supply, install, test and connect, inclusive of all necessary cable supports, cleats, trays, ladders, UPVC conduits trunking, trenches, manholes, accessories etc  all in compliance with the details in load schedule and distribution schematic drawing and specifications/Local authority regulations.</t>
    </r>
  </si>
  <si>
    <t>(1CX630) XLPE/SWA/PVC.</t>
  </si>
  <si>
    <t>4x300mm2 XPLE Arm + ECC 150mm2</t>
  </si>
  <si>
    <t>4x240mm2 XPLE Arm + ECC 120mm2</t>
  </si>
  <si>
    <t>2(4x240mm2) XPLE Arm + ECC 2 X 120mm2</t>
  </si>
  <si>
    <t>3(4x240mm2) XPLE Arm + ECC 3 X 120mm2</t>
  </si>
  <si>
    <t>4x95mm2 XPLE Arm + ECC 50mm2</t>
  </si>
  <si>
    <t>4x70mm2 XPLE Arm + ECC 35mm2</t>
  </si>
  <si>
    <t>4x50mm2 XPLE Arm + ECC 35mm2</t>
  </si>
  <si>
    <t>4x35mm2 XPLE Arm + ECC 25mm2</t>
  </si>
  <si>
    <t>4x25mm2 XPLE Arm + ECC 16mm2</t>
  </si>
  <si>
    <t>4x16mm2 XPLE Arm + ECC 16mm2</t>
  </si>
  <si>
    <t>4x10mm2 XPLE Arm + ECC 10mm2</t>
  </si>
  <si>
    <t>4x 10mm2 + ECC 10 mm2</t>
  </si>
  <si>
    <t>4x6mm2 + ECC 6 mm2</t>
  </si>
  <si>
    <t>4x 4mm2  + ECC 4mm2</t>
  </si>
  <si>
    <t>Provide and install heavy duty galvanized iron trunking single compartment with all-purpose made accessories and supports. As per drawing and specifications.</t>
  </si>
  <si>
    <t>Provide and install heavy duty Elec. M.H  As per drawing  and specifications.</t>
  </si>
  <si>
    <r>
      <rPr>
        <b/>
        <u/>
        <sz val="11"/>
        <color theme="1"/>
        <rFont val="Arial"/>
        <family val="2"/>
      </rPr>
      <t>Earthing System:</t>
    </r>
    <r>
      <rPr>
        <b/>
        <sz val="11"/>
        <color theme="1"/>
        <rFont val="Arial"/>
        <family val="2"/>
      </rPr>
      <t xml:space="preserve">
Supply, install, test, commission and maintain complete earthing  system in accordance with the drawings and specifications, as shown on drawing and as specified but not necessarily limited to the following  
</t>
    </r>
  </si>
  <si>
    <t xml:space="preserve">Solid Copper rods  </t>
  </si>
  <si>
    <t xml:space="preserve">Copper conductor  </t>
  </si>
  <si>
    <t>Earth Pits:</t>
  </si>
  <si>
    <t xml:space="preserve">Final sub-circuit and auxiliary installation </t>
  </si>
  <si>
    <t xml:space="preserve">Simplex switched socket outlet, 13A </t>
  </si>
  <si>
    <t xml:space="preserve">Duplex switched socket outlet, 13A </t>
  </si>
  <si>
    <t>Simplex switched socket outlet, 13A  water proof</t>
  </si>
  <si>
    <t>Duplex switched socket outlet, 13A  water proof</t>
  </si>
  <si>
    <t>20A DP switch  &amp; Flex outlet for water heater</t>
  </si>
  <si>
    <t xml:space="preserve">Fused connected unit with flex outlet, unswitched 13A fuse </t>
  </si>
  <si>
    <t xml:space="preserve">Fused connected unit with flex outlet, switched 13A </t>
  </si>
  <si>
    <t xml:space="preserve">Flex outlet, ceiling, mural </t>
  </si>
  <si>
    <t xml:space="preserve">Supply and installation of FLOOR BOX (IP66)
As shown on the drawing </t>
  </si>
  <si>
    <r>
      <rPr>
        <b/>
        <u/>
        <sz val="11"/>
        <color theme="1"/>
        <rFont val="Arial"/>
        <family val="2"/>
      </rPr>
      <t>Lighting Installation:</t>
    </r>
    <r>
      <rPr>
        <b/>
        <sz val="11"/>
        <color theme="1"/>
        <rFont val="Arial"/>
        <family val="2"/>
      </rPr>
      <t xml:space="preserve">
Final sub-circuit and auxiliary installation to the following in accordance with Specification </t>
    </r>
  </si>
  <si>
    <r>
      <t xml:space="preserve">Light Fittings and Fixtures:
</t>
    </r>
    <r>
      <rPr>
        <sz val="11"/>
        <rFont val="Arial"/>
        <family val="2"/>
      </rPr>
      <t xml:space="preserve">Install all light fittings and fixtures(internal and external lights ) including all necessary fixings and accessories complete in accordance with the drawings, luminaire schedule document and specification </t>
    </r>
  </si>
  <si>
    <t xml:space="preserve">Exit sign light </t>
  </si>
  <si>
    <t xml:space="preserve">EM light </t>
  </si>
  <si>
    <t xml:space="preserve">Supply and install Switching Accessories </t>
  </si>
  <si>
    <t>One-way one gang lighting switch</t>
  </si>
  <si>
    <t>One-way two gang lighting switch</t>
  </si>
  <si>
    <t>One-way three gang lighting switch</t>
  </si>
  <si>
    <t>Two-way one gang lighting switch</t>
  </si>
  <si>
    <t>Two-way two gang lighting switch</t>
  </si>
  <si>
    <t>Light Switch Panel for the public areas</t>
  </si>
  <si>
    <t>Timer Switch</t>
  </si>
  <si>
    <t>Stair case Push Button switch</t>
  </si>
  <si>
    <r>
      <t xml:space="preserve">Exit Sign Fittings:
</t>
    </r>
    <r>
      <rPr>
        <b/>
        <sz val="11"/>
        <color theme="1"/>
        <rFont val="Arial"/>
        <family val="2"/>
      </rPr>
      <t xml:space="preserve">Supply and install the following light fittings including connections to permanent wiring system, in accordance with the drawings, luminaire schedule document and specification </t>
    </r>
  </si>
  <si>
    <t>Wall mounted Exit Lighting fixture(Monitoring Type as per civil defense approved drawing)</t>
  </si>
  <si>
    <t>Ceiling mounted Emergency Light with Exit sign / Arrows Monitoring Type as per civil defense approved drawing)</t>
  </si>
  <si>
    <r>
      <t xml:space="preserve">Emergency Sign Fittings:
</t>
    </r>
    <r>
      <rPr>
        <b/>
        <sz val="11"/>
        <color theme="1"/>
        <rFont val="Arial"/>
        <family val="2"/>
      </rPr>
      <t xml:space="preserve">Supply and Install the following light fittings including connections to permanent wiring system, in accordance with the drawings, luminaire schedule document and specification </t>
    </r>
  </si>
  <si>
    <t>Wall mounted Emergency Light fixture</t>
  </si>
  <si>
    <t xml:space="preserve">Allow for any other miscellaneous work in connection to Monitoring Type as per civil defense approved drawing) </t>
  </si>
  <si>
    <r>
      <t xml:space="preserve">PA Sound  System:
</t>
    </r>
    <r>
      <rPr>
        <b/>
        <sz val="11"/>
        <color theme="1"/>
        <rFont val="Arial"/>
        <family val="2"/>
      </rPr>
      <t>Supply and install, test, commission and maintain complete PA sound system completed as mentioned on the drawing and project specs</t>
    </r>
    <r>
      <rPr>
        <b/>
        <u/>
        <sz val="11"/>
        <color theme="1"/>
        <rFont val="Arial"/>
        <family val="2"/>
      </rPr>
      <t xml:space="preserve"> </t>
    </r>
  </si>
  <si>
    <r>
      <t xml:space="preserve">Telephone  system:
</t>
    </r>
    <r>
      <rPr>
        <b/>
        <sz val="11"/>
        <color theme="1"/>
        <rFont val="Arial"/>
        <family val="2"/>
      </rPr>
      <t xml:space="preserve">Supply, install test, commission and maintain complete Etisalat System  as per Etisalat regulation including all component in main tel. room and necessary cabling and termination, cable management system all in accordance with drawings and specification, section but not necessarily limited to the following </t>
    </r>
  </si>
  <si>
    <t>Supply and installation of Etisalat points (RJ45 sockets and cat 6 wiring for all sockets and FLOOR BOXES as mentioned on the drawing ).</t>
  </si>
  <si>
    <t>Supply and installation of Etisalat ONT Box</t>
  </si>
  <si>
    <t>supply and installation of Etisalat M.H cover (Heavy Duty)</t>
  </si>
  <si>
    <t>supply and installation of junction Box ( Elec., Etis., MATV…)  .</t>
  </si>
  <si>
    <r>
      <t xml:space="preserve">IP Based CCTV SYSTEM:
</t>
    </r>
    <r>
      <rPr>
        <b/>
        <sz val="11"/>
        <color theme="1"/>
        <rFont val="Arial"/>
        <family val="2"/>
      </rPr>
      <t xml:space="preserve">Supply, install test, commission and maintain complete IP Based CCTV System all as shown on the drawing and project specification. </t>
    </r>
  </si>
  <si>
    <r>
      <t xml:space="preserve">Fire Alarm System:
</t>
    </r>
    <r>
      <rPr>
        <b/>
        <sz val="11"/>
        <color theme="1"/>
        <rFont val="Arial"/>
        <family val="2"/>
      </rPr>
      <t xml:space="preserve">Supply, install, test and commission, maintain in accordance with the drawings and specification and Civil Defense approval, the complete Fire Alarm system including cabling, conducting and power connection for, but not necessarily limited to the following: </t>
    </r>
  </si>
  <si>
    <t>Cable and conduit in concealed installations to the following:</t>
  </si>
  <si>
    <t>Optical Smoke Sensor with Base</t>
  </si>
  <si>
    <t>Smoke Sensor with Base</t>
  </si>
  <si>
    <t>Fire alarm Bell</t>
  </si>
  <si>
    <t xml:space="preserve">Fire phone jack </t>
  </si>
  <si>
    <t>Carbon monoxide  detector</t>
  </si>
  <si>
    <t>Break Glass Unit W/P</t>
  </si>
  <si>
    <t>Fire Alarm Flasher</t>
  </si>
  <si>
    <t>Combined Sound / Flasher</t>
  </si>
  <si>
    <t>Sounder</t>
  </si>
  <si>
    <t>Wall Mounted /Recessed fire alarm speaker with flasher but W/P</t>
  </si>
  <si>
    <t>Control to be connected to any building automation system: Automatic doors,Lifts, Smoke fans, Make up fan With all motorized dampers, F.A.H.U, AHU, Fire damper and Gate Barriers.</t>
  </si>
  <si>
    <t>Supply and installation of VOICE EVACUATION completed system (VICP, Conduits , Wires ,Sound speakers,…etc) as per Civil defense regulation , drawing  and project specs</t>
  </si>
  <si>
    <t xml:space="preserve">Allow for providing all requirements of  Telephone service provider insider DIC room and typical floor telephone rooms including raised floor, power points, etc. </t>
  </si>
  <si>
    <t xml:space="preserve">All incidental work </t>
  </si>
  <si>
    <t>Allow for drawings, manuals, submittal, samples inspections and introduction book.</t>
  </si>
  <si>
    <t>Allow for painting and identification ( Only protective painting is included )</t>
  </si>
  <si>
    <t xml:space="preserve">Allow for testing and commissioning  
</t>
  </si>
  <si>
    <t>Allow for Training of Employer's Operation and Maintenance Staffs</t>
  </si>
  <si>
    <t>Allow for Maintenance as required only up to defects liability period</t>
  </si>
  <si>
    <t>Allow for all builder's work</t>
  </si>
  <si>
    <t>BILL NO. 11: NATURAL GAS SYSTEM</t>
  </si>
  <si>
    <t>Supply and install the whole Natural gas system, complete as specified shown and detailed on Drawings and to the approval of the Engineer &amp; SEWA Gas section:</t>
  </si>
  <si>
    <t>Gas governor, gas meters and valves on the wall and Gas room in Typ. Floor.</t>
  </si>
  <si>
    <t>Gas regulator valve</t>
  </si>
  <si>
    <t>Gas quick shut off valve</t>
  </si>
  <si>
    <t>Underground gas pipes (PE-80 pipe).</t>
  </si>
  <si>
    <t>Copper Gas pipes</t>
  </si>
  <si>
    <t>Total Bill No. 12 Carried To Collection</t>
  </si>
  <si>
    <t>Add for overhead and profits</t>
  </si>
  <si>
    <t>Add for Attendance and assistance</t>
  </si>
  <si>
    <t>FITTING, FIXTURES &amp; EQUIPMENT</t>
  </si>
  <si>
    <t>NATURAL GAS SYSTEM</t>
  </si>
  <si>
    <t>CARPENTRY&amp; JOINERY WORKS</t>
  </si>
  <si>
    <r>
      <rPr>
        <sz val="11"/>
        <color rgb="FF0070C0"/>
        <rFont val="Arial"/>
        <family val="2"/>
      </rPr>
      <t>Pre-action system:</t>
    </r>
    <r>
      <rPr>
        <sz val="11"/>
        <color theme="1"/>
        <rFont val="Arial"/>
        <family val="2"/>
      </rPr>
      <t xml:space="preserve">
Supply and Install Pre-action system for Generator and Lift Machine room required as per CD Regulation and Approval</t>
    </r>
  </si>
  <si>
    <r>
      <rPr>
        <sz val="11"/>
        <color rgb="FF0070C0"/>
        <rFont val="Arial"/>
        <family val="2"/>
      </rPr>
      <t>Fire Blanket:</t>
    </r>
    <r>
      <rPr>
        <sz val="11"/>
        <color theme="1"/>
        <rFont val="Arial"/>
        <family val="2"/>
      </rPr>
      <t xml:space="preserve">
Supply and installation of Fire Blanket for all kitchens</t>
    </r>
  </si>
  <si>
    <r>
      <rPr>
        <sz val="11"/>
        <color rgb="FF0070C0"/>
        <rFont val="Arial"/>
        <family val="2"/>
      </rPr>
      <t>Sprinkler Heads:</t>
    </r>
    <r>
      <rPr>
        <sz val="11"/>
        <color theme="1"/>
        <rFont val="Arial"/>
        <family val="2"/>
      </rPr>
      <t xml:space="preserve">
Supply and installation of Sprinkler Heads (All types as mentioned on the drawing)</t>
    </r>
  </si>
  <si>
    <r>
      <rPr>
        <sz val="11"/>
        <color rgb="FF0070C0"/>
        <rFont val="Arial"/>
        <family val="2"/>
      </rPr>
      <t>GI pipes:</t>
    </r>
    <r>
      <rPr>
        <sz val="11"/>
        <color theme="1"/>
        <rFont val="Arial"/>
        <family val="2"/>
      </rPr>
      <t xml:space="preserve">
Supply and installation of GI pipes Heavy duty for all FF work as mentioned on the drawing</t>
    </r>
  </si>
  <si>
    <r>
      <rPr>
        <b/>
        <sz val="11"/>
        <rFont val="Arial"/>
        <family val="2"/>
      </rPr>
      <t>SMATV System:</t>
    </r>
    <r>
      <rPr>
        <sz val="11"/>
        <rFont val="Arial"/>
        <family val="2"/>
      </rPr>
      <t xml:space="preserve">
Supply and install, test, commission and maintain complete SMATV system to receive all free to air channels and to have IF distribution signal including necessary cabling and termination, cable management system all in accordance with drawings and specification, section @ least 2 active points in each flat or as mentioned on the drawing.</t>
    </r>
  </si>
  <si>
    <t>item</t>
  </si>
  <si>
    <t>Shoring Works (If Required)</t>
  </si>
  <si>
    <t xml:space="preserve">BILL NO. 1   :   PRELIMINARIES </t>
  </si>
  <si>
    <t>Allow for protecting all the Works from the weather, damage, theft, including that of all Nominated Sub- Contractors and clearing away same on completion</t>
  </si>
  <si>
    <t>Allow for protecting all finished Work, including that of all Nominated Sub-Contractors, from damage however caused and theft</t>
  </si>
  <si>
    <t>Allow for temporary covering to excavations and other hazards</t>
  </si>
  <si>
    <t>Allow for temporary barricading to excavations, structural openings, shafts, exposed floor ends, roofs and all other hazards, etc.</t>
  </si>
  <si>
    <t>Allow for keeping the Site, roads, footpaths and any adjacent areas affected by the Works clear of debris and other rubbish during the progress of the Work and on completion</t>
  </si>
  <si>
    <t>Allow for hoarding and fencing requirements including regular maintenance and decoration with all gates and access and egress points, including removal on completion</t>
  </si>
  <si>
    <t>Allow for providing plant and tools</t>
  </si>
  <si>
    <t>Allow for all tower cranes, mobile cranes, and lifting equipment, for unloading, loading and lifting of all materials, including all carnage requirements for Nominated Sub-Contractors, and the provision of dedicated bandsmen for each crane</t>
  </si>
  <si>
    <t>Allow for all hoist requirements for passengers and goods, including installation and regular maintenance and servicing, with a secure compartment around the base of each hoist and dedicated operators, each with mobile communication for each hoist</t>
  </si>
  <si>
    <t>Setting-Out and Surveying Allow for setting out the Work and preparing level surveys</t>
  </si>
  <si>
    <t>Diversion of Service:  Allow for protecting existing services within the fenced area of the site and for giving notices to the relevant Authorities to arrange for any necessary service diversions and for providing labor and materials and attendance for the diversion as necessary</t>
  </si>
  <si>
    <t>Traffic Safety and Control:  Allow for warning sign lamps, barricades, temporary traffic signals, signage, etc.</t>
  </si>
  <si>
    <t>Allow for carrying out tests on plant, equipment, materials and workmanship  as required</t>
  </si>
  <si>
    <t>Allow for clearing away all rubbish on a daily basis during the progress of the Works and on completion and for leaving the site and perimeter tidy on completion</t>
  </si>
  <si>
    <t>Allow for cleaning the site and buildings inside and out, upon completion, and leaving for occupation, using an experienced and approved professional cleaning company</t>
  </si>
  <si>
    <t>Allow for all Contractor's Insurance requirements</t>
  </si>
  <si>
    <t>Allow for Local Authorities charges and fees including permit fees and temporary connection fees for all services</t>
  </si>
  <si>
    <t>Allow for temporary power, water, sanitary, sewerage and telephone requirements and supplies</t>
  </si>
  <si>
    <t>Allow for loss or damage to Works, Materials, Plant, etc.</t>
  </si>
  <si>
    <t>Allow for Providing Project Sign Boards as shown on drawings/ Specifications</t>
  </si>
  <si>
    <t>Total Bill No. 1 Carried To Collection</t>
  </si>
  <si>
    <t>PC= 225 AED/ Internal Doors</t>
  </si>
  <si>
    <t>PC= 300 AED/ Flat Doors and Services</t>
  </si>
  <si>
    <t>set</t>
  </si>
  <si>
    <r>
      <t xml:space="preserve">Supply &amp; Install </t>
    </r>
    <r>
      <rPr>
        <b/>
        <sz val="10"/>
        <color theme="1"/>
        <rFont val="Arial"/>
        <family val="2"/>
      </rPr>
      <t>Wardrobes / Dressing Cabinets</t>
    </r>
    <r>
      <rPr>
        <sz val="10"/>
        <color theme="1"/>
        <rFont val="Arial"/>
        <family val="2"/>
      </rPr>
      <t xml:space="preserve"> (Prime Supply Cost </t>
    </r>
    <r>
      <rPr>
        <b/>
        <sz val="10"/>
        <color theme="1"/>
        <rFont val="Arial"/>
        <family val="2"/>
      </rPr>
      <t>1,600 AED/RM</t>
    </r>
    <r>
      <rPr>
        <sz val="10"/>
        <color theme="1"/>
        <rFont val="Arial"/>
        <family val="2"/>
      </rPr>
      <t>), including all necessary works as per Profession Standards &amp; Engineer Approval</t>
    </r>
  </si>
  <si>
    <r>
      <t xml:space="preserve">Supply &amp; Install </t>
    </r>
    <r>
      <rPr>
        <b/>
        <sz val="11"/>
        <color theme="1"/>
        <rFont val="Arial"/>
        <family val="2"/>
      </rPr>
      <t xml:space="preserve">Chequered Plate for the substation / ELE room </t>
    </r>
    <r>
      <rPr>
        <sz val="11"/>
        <color theme="1"/>
        <rFont val="Arial"/>
        <family val="2"/>
      </rPr>
      <t>as per authorities requirements.</t>
    </r>
  </si>
  <si>
    <t>Nos.</t>
  </si>
  <si>
    <t>PS</t>
  </si>
  <si>
    <r>
      <rPr>
        <b/>
        <sz val="10"/>
        <color theme="1"/>
        <rFont val="Arial"/>
        <family val="2"/>
      </rPr>
      <t>Excavation for Foundation, UG Water tank, holding tanks, UG facilities, etc.,</t>
    </r>
    <r>
      <rPr>
        <sz val="10"/>
        <color theme="1"/>
        <rFont val="Arial"/>
        <family val="2"/>
      </rPr>
      <t xml:space="preserve"> starting from the excavation level of the Existing natural ground level up to bottom of foundation </t>
    </r>
  </si>
  <si>
    <r>
      <t xml:space="preserve">Remove </t>
    </r>
    <r>
      <rPr>
        <b/>
        <sz val="10"/>
        <color theme="1"/>
        <rFont val="Arial"/>
        <family val="2"/>
      </rPr>
      <t>surplus excavated materials</t>
    </r>
    <r>
      <rPr>
        <sz val="10"/>
        <color theme="1"/>
        <rFont val="Arial"/>
        <family val="2"/>
      </rPr>
      <t xml:space="preserve"> from the site</t>
    </r>
  </si>
  <si>
    <t>Supply &amp; Install Glass Fascade as per Specifications, Arch Drawings &amp; Engineer Approval. Complete with Doors. Louvers, Strips, Accessories, etc</t>
  </si>
  <si>
    <t>W1</t>
  </si>
  <si>
    <t>W7</t>
  </si>
  <si>
    <t>FC3</t>
  </si>
  <si>
    <t>EFS-1</t>
  </si>
  <si>
    <t>Provide site compound, workshops, secure storage areas, temporary external lighting, plant, roads, car shed ,etc. and remove on completion, including that for all Nominated  Sub-Contractors</t>
  </si>
  <si>
    <t>Allow for any extreme physical constraints of the site</t>
  </si>
  <si>
    <t>Allow for site administration, Contractor Staff Sallaries, Overhead, Profits, supervision, security, safety, pest control, health and overtime (including any overtime requirements for the Engineer Representatives)</t>
  </si>
  <si>
    <t>Allow for protecting adjacent roads and footpaths,  working areas, etc. from falling debris, etc. from overhead works, including safety protection fans for all elevations, at all levels, including relocation to suit the course of the works</t>
  </si>
  <si>
    <t>Allow for providing all scaffolding and cradles and maintaining with regular servicing and checks (including for all Nominated Sub-Contractors requirements)</t>
  </si>
  <si>
    <t>Client &amp; Engineer's Facilities: Allow for providing all required facilities and requirements as detailed in Specifications, including maintaining, altering, adapting or relocating to suit the Progress of the Work and clearing same at completion</t>
  </si>
  <si>
    <t>Contractor's Facilities: Allow for providing all required office facilities for the Contractor and Nominated Sub-Contractors  including maintaining, altering, adapting or relocating to suit the Progress of the Work and clearing same at completion</t>
  </si>
  <si>
    <t>Temporary Diversions: Allow for constructing temporary roads, footpaths and similar diversions, including obtaining all consents and clearing away</t>
  </si>
  <si>
    <t>Increased Costs:  Allow for inflation of building costs during the progress of the Works</t>
  </si>
  <si>
    <t>Reduced Scale and "As-Built" Drawing Sets and Maintenance Manuals; Allow for providing reduced scale design drawings, "As-Built" drawing sets and Maintenance and Operation Manuals</t>
  </si>
  <si>
    <t>Progress Photographs:  Allow for providing monthly 1 set of HD Digitals Photographs and prints, taken at various locations from which three (3) sets of twenty (20) prints size A4 will be selected</t>
  </si>
  <si>
    <t>Samples:  Allow for providing samples of materials as required</t>
  </si>
  <si>
    <t>Allow for Performance Bond</t>
  </si>
  <si>
    <t>Allow for including and considering (at the time of tendering and signing Contract agreement )  federal corporate tax on business profits applicable and imposed by UAE Government effective since June 2023.</t>
  </si>
  <si>
    <t>j</t>
  </si>
  <si>
    <r>
      <t xml:space="preserve">Glass Facade Type </t>
    </r>
    <r>
      <rPr>
        <b/>
        <sz val="11"/>
        <color rgb="FF0070C0"/>
        <rFont val="Arial"/>
        <family val="2"/>
      </rPr>
      <t>GF 01</t>
    </r>
  </si>
  <si>
    <r>
      <t xml:space="preserve">Glass Facade Type </t>
    </r>
    <r>
      <rPr>
        <b/>
        <sz val="11"/>
        <color rgb="FF0070C0"/>
        <rFont val="Arial"/>
        <family val="2"/>
      </rPr>
      <t>GF 02</t>
    </r>
    <r>
      <rPr>
        <sz val="11"/>
        <color theme="1"/>
        <rFont val="Calibri"/>
        <family val="2"/>
        <scheme val="minor"/>
      </rPr>
      <t/>
    </r>
  </si>
  <si>
    <r>
      <t xml:space="preserve">Glass Facade Type </t>
    </r>
    <r>
      <rPr>
        <b/>
        <sz val="11"/>
        <color rgb="FF0070C0"/>
        <rFont val="Arial"/>
        <family val="2"/>
      </rPr>
      <t>GF 03</t>
    </r>
    <r>
      <rPr>
        <sz val="11"/>
        <color theme="1"/>
        <rFont val="Calibri"/>
        <family val="2"/>
        <scheme val="minor"/>
      </rPr>
      <t/>
    </r>
  </si>
  <si>
    <r>
      <t xml:space="preserve">Glass Facade Type </t>
    </r>
    <r>
      <rPr>
        <b/>
        <sz val="11"/>
        <color rgb="FF0070C0"/>
        <rFont val="Arial"/>
        <family val="2"/>
      </rPr>
      <t>GF 04</t>
    </r>
    <r>
      <rPr>
        <sz val="11"/>
        <color theme="1"/>
        <rFont val="Calibri"/>
        <family val="2"/>
        <scheme val="minor"/>
      </rPr>
      <t/>
    </r>
  </si>
  <si>
    <r>
      <t xml:space="preserve">Glass Facade Type </t>
    </r>
    <r>
      <rPr>
        <b/>
        <sz val="11"/>
        <color rgb="FF0070C0"/>
        <rFont val="Arial"/>
        <family val="2"/>
      </rPr>
      <t>GF 05</t>
    </r>
    <r>
      <rPr>
        <sz val="11"/>
        <color theme="1"/>
        <rFont val="Calibri"/>
        <family val="2"/>
        <scheme val="minor"/>
      </rPr>
      <t/>
    </r>
  </si>
  <si>
    <r>
      <t xml:space="preserve">Glass Facade Type </t>
    </r>
    <r>
      <rPr>
        <b/>
        <sz val="11"/>
        <color rgb="FF0070C0"/>
        <rFont val="Arial"/>
        <family val="2"/>
      </rPr>
      <t>GF 06</t>
    </r>
    <r>
      <rPr>
        <sz val="11"/>
        <color theme="1"/>
        <rFont val="Calibri"/>
        <family val="2"/>
        <scheme val="minor"/>
      </rPr>
      <t/>
    </r>
  </si>
  <si>
    <r>
      <t xml:space="preserve">Glass Facade Type </t>
    </r>
    <r>
      <rPr>
        <b/>
        <sz val="11"/>
        <color rgb="FF0070C0"/>
        <rFont val="Arial"/>
        <family val="2"/>
      </rPr>
      <t>GF 07</t>
    </r>
    <r>
      <rPr>
        <sz val="11"/>
        <color theme="1"/>
        <rFont val="Calibri"/>
        <family val="2"/>
        <scheme val="minor"/>
      </rPr>
      <t/>
    </r>
  </si>
  <si>
    <r>
      <t xml:space="preserve">Glass Facade Type </t>
    </r>
    <r>
      <rPr>
        <b/>
        <sz val="11"/>
        <color rgb="FF0070C0"/>
        <rFont val="Arial"/>
        <family val="2"/>
      </rPr>
      <t>GF 08</t>
    </r>
    <r>
      <rPr>
        <sz val="11"/>
        <color theme="1"/>
        <rFont val="Calibri"/>
        <family val="2"/>
        <scheme val="minor"/>
      </rPr>
      <t/>
    </r>
  </si>
  <si>
    <r>
      <t xml:space="preserve">In-line Exhaust fans :
</t>
    </r>
    <r>
      <rPr>
        <sz val="11"/>
        <rFont val="Arial"/>
        <family val="2"/>
      </rPr>
      <t>Supply and installation of in-line (ducted) Exhaust fans</t>
    </r>
  </si>
  <si>
    <r>
      <rPr>
        <b/>
        <sz val="8"/>
        <color theme="1"/>
        <rFont val="Arial"/>
        <family val="2"/>
      </rPr>
      <t>Additional Items:</t>
    </r>
    <r>
      <rPr>
        <sz val="8"/>
        <color theme="1"/>
        <rFont val="Arial"/>
        <family val="2"/>
      </rPr>
      <t xml:space="preserve">
The contractor to detail below any additional items   (with quantities and rates) shown in the drawings, mentioned in the specs. And /or required for satisfactory completion of the buildup of the lump sum project price of this section of works. Should the contractor fail to insert any item in this section, it will be deemed that his lump sum price for the entire project included all items and no subsequent claim for any additional items will be entertained.</t>
    </r>
  </si>
  <si>
    <r>
      <t>m</t>
    </r>
    <r>
      <rPr>
        <vertAlign val="superscript"/>
        <sz val="10"/>
        <color theme="4" tint="-0.249977111117893"/>
        <rFont val="Arial"/>
        <family val="2"/>
      </rPr>
      <t>3</t>
    </r>
  </si>
  <si>
    <r>
      <t>m</t>
    </r>
    <r>
      <rPr>
        <vertAlign val="superscript"/>
        <sz val="10"/>
        <rFont val="Arial"/>
        <family val="2"/>
      </rPr>
      <t>3</t>
    </r>
  </si>
  <si>
    <r>
      <t xml:space="preserve">Supply &amp; Provide </t>
    </r>
    <r>
      <rPr>
        <b/>
        <sz val="10"/>
        <color theme="1"/>
        <rFont val="Arial"/>
        <family val="2"/>
      </rPr>
      <t>Road Base</t>
    </r>
    <r>
      <rPr>
        <sz val="10"/>
        <color theme="1"/>
        <rFont val="Arial"/>
        <family val="2"/>
      </rPr>
      <t xml:space="preserve"> Compacted as per Structural Drawings, up to 97% as per standards, spec. soil report and Structural Drawings.</t>
    </r>
  </si>
  <si>
    <r>
      <t xml:space="preserve">Supply &amp; Provide </t>
    </r>
    <r>
      <rPr>
        <b/>
        <sz val="10"/>
        <color theme="1"/>
        <rFont val="Arial"/>
        <family val="2"/>
      </rPr>
      <t>Anti-termite Treatment</t>
    </r>
    <r>
      <rPr>
        <sz val="10"/>
        <color theme="1"/>
        <rFont val="Arial"/>
        <family val="2"/>
      </rPr>
      <t xml:space="preserve"> as Per Specifications &amp; Engineer Approval  </t>
    </r>
  </si>
  <si>
    <r>
      <t>m</t>
    </r>
    <r>
      <rPr>
        <vertAlign val="superscript"/>
        <sz val="10"/>
        <rFont val="Arial"/>
        <family val="2"/>
      </rPr>
      <t>2</t>
    </r>
  </si>
  <si>
    <r>
      <t xml:space="preserve">Supply &amp; Provide 1000 G </t>
    </r>
    <r>
      <rPr>
        <b/>
        <sz val="10"/>
        <color theme="1"/>
        <rFont val="Arial"/>
        <family val="2"/>
      </rPr>
      <t>Polythene Sheets</t>
    </r>
    <r>
      <rPr>
        <sz val="10"/>
        <color theme="1"/>
        <rFont val="Arial"/>
        <family val="2"/>
      </rPr>
      <t xml:space="preserve"> as Per Specifications, Structure Drawings &amp; Engineer Approval  </t>
    </r>
  </si>
  <si>
    <r>
      <t xml:space="preserve">Supply &amp; Provide </t>
    </r>
    <r>
      <rPr>
        <b/>
        <sz val="10"/>
        <color theme="1"/>
        <rFont val="Arial"/>
        <family val="2"/>
      </rPr>
      <t>Blinding Concrete</t>
    </r>
    <r>
      <rPr>
        <sz val="10"/>
        <color theme="1"/>
        <rFont val="Arial"/>
        <family val="2"/>
      </rPr>
      <t xml:space="preserve"> </t>
    </r>
    <r>
      <rPr>
        <sz val="10"/>
        <color rgb="FF000000"/>
        <rFont val="Arial"/>
        <family val="2"/>
      </rPr>
      <t xml:space="preserve">; 100 </t>
    </r>
    <r>
      <rPr>
        <sz val="10"/>
        <color theme="1"/>
        <rFont val="Arial"/>
        <family val="2"/>
      </rPr>
      <t xml:space="preserve">mm thick under Foundation, UG Water Tank, etc. as Per Specifications, Structure Drawings &amp; Engineer Approval  </t>
    </r>
  </si>
  <si>
    <r>
      <t>m</t>
    </r>
    <r>
      <rPr>
        <vertAlign val="superscript"/>
        <sz val="10"/>
        <color theme="1"/>
        <rFont val="Arial"/>
        <family val="2"/>
      </rPr>
      <t>3</t>
    </r>
  </si>
  <si>
    <r>
      <t>m</t>
    </r>
    <r>
      <rPr>
        <vertAlign val="superscript"/>
        <sz val="10"/>
        <color rgb="FF0070C0"/>
        <rFont val="Arial"/>
        <family val="2"/>
      </rPr>
      <t>2</t>
    </r>
  </si>
  <si>
    <r>
      <t>m</t>
    </r>
    <r>
      <rPr>
        <vertAlign val="superscript"/>
        <sz val="10"/>
        <color theme="1"/>
        <rFont val="Arial"/>
        <family val="2"/>
      </rPr>
      <t>2</t>
    </r>
  </si>
  <si>
    <t>Item</t>
  </si>
  <si>
    <t>TOTAL Item PRICE
( AED )</t>
  </si>
  <si>
    <t>Additional Items:
The contractor to detail below any additional Items   (with quantities and rates) shown in the drawings, mentioned in the specs. And /or required for satisfactory completion of the buildup of the lump sum project price of this section of works. Should the contractor fail to insert any Item in this section, it will be deemed that his lump sum price for the entire project included all Items and no subsequent claim for any additional Items will be entertained.</t>
  </si>
  <si>
    <t>Additional Items:
The contractor to detail below any additional Items (with quantities and rates) shown in the drawings, mentioned in the specs. And /or required for satisfactory completion of the buildup of the lump sum project price of this section of works. Should the contractor fail to insert any Item in this section, it will be deemed that his lump sum price for the entire project included all Items and no subsequent claim for any additional Items will be entertained.</t>
  </si>
  <si>
    <t xml:space="preserve">Air-conditioning &amp; Ventilation Equipment:
The Contractor is referred to the Specifications and Drawings for all details related to this Section of the Works and he is to include for complying with all the requirements contained therein, whether or not they are specifically mentioned within the Items description
Air-conditioning &amp; Ventilation Equipment
Supply, installation, testing &amp; commissioning of the whole air conditioning, &amp; ventilation system, complete as specified shown and detailed on drawings and to the approval of the engineer. 
</t>
  </si>
  <si>
    <t>Additional Items:
The contractor to detail below any additional Items (with quantities and rates) shown in the drawings, mentioned in the specs. And /or required for satisfactory completion of the buildup of the lump sum project price of this section of works. Should the contractor fail to insert any Item in this section, it will be deemed that his lump sum price for the entire project included all Items and no subsequent claim for any additional Items will be entertained </t>
  </si>
  <si>
    <t xml:space="preserve">Additional Items:
The contractor to detail below any additional Items   (with quantities and rates) shown in the drawings, mentioned in the specs. And /or required for satisfactory completion of the buildup of the lump sum project price of this section of works. Should the contractor fail to insert any Item in this section, it will be deemed that his lump sum price for the entire project included all Items and no subsequent claim for any additional Items will be entertained 
</t>
  </si>
  <si>
    <t>Any other Items required to form a complete system as mentioned in the specifications or detailed on the Drawings but not covered in above BOQ</t>
  </si>
  <si>
    <t xml:space="preserve">Additional Item:
The contractor to detail below any additional Items   (with quantities and rates) shown in the drawings, mentioned in the specs. And /or required for satisfactory completion of the buildup of the lump sum project price of this section of works. Should the contractor fail to insert any Item in this section, it will be deemed that his lump sum price for the entire project included all Items and no subsequent claim for any additional Items will be entertained </t>
  </si>
  <si>
    <t>The Contractor is referred to the Specifications and Drawings for all details related to this Section of the Works and he is to include for complying with all the requirements contained therein, whether or not they are specifically mentioned within the Items description</t>
  </si>
  <si>
    <t>Allow for any additional Item not included above but necessary for the successful completion of the electrical installation and other Low current services.</t>
  </si>
  <si>
    <t>ADDITIONAL ItemS:
The contractor to detail below any additional Items   (with quantities and rates) shown in the drawings, mentioned in the specs. And /or required for satisfactory completion of the buildup of the lump sum project price of this section of works. Should the contractor fail to insert any Item in this section, it will be deemed that his lump sum price for the entire project included all Items and no subsequent claim for any additional Items will be entertained </t>
  </si>
  <si>
    <t>Additional Item:
The contractor to detail below any additional Items (with quantities and rates) shown in the drawings, mentioned in the specs. And /or required for satisfactory completion of the buildup of the lump sum project price of this section of works. Should the contractor fail to insert any Item in this section, it will be deemed that his lump sum price for the entire project included all Items and no subsequent claim for any additional Items will be entertained</t>
  </si>
  <si>
    <r>
      <t xml:space="preserve">Supply &amp; Apply </t>
    </r>
    <r>
      <rPr>
        <b/>
        <sz val="10"/>
        <color theme="1"/>
        <rFont val="Arial"/>
        <family val="2"/>
      </rPr>
      <t xml:space="preserve">Hollow Concrete Blocks </t>
    </r>
    <r>
      <rPr>
        <sz val="10"/>
        <color theme="1"/>
        <rFont val="Arial"/>
        <family val="2"/>
      </rPr>
      <t>bedded and jointed in cement  sand mortar (1:3) Including all Necessary Works &amp; Accessories as Per Specifications &amp; Engineer Approval.</t>
    </r>
  </si>
  <si>
    <r>
      <t>m</t>
    </r>
    <r>
      <rPr>
        <vertAlign val="superscript"/>
        <sz val="10"/>
        <color theme="4"/>
        <rFont val="Arial"/>
        <family val="2"/>
      </rPr>
      <t>2</t>
    </r>
  </si>
  <si>
    <r>
      <t xml:space="preserve">Supply &amp; Apply </t>
    </r>
    <r>
      <rPr>
        <b/>
        <sz val="10"/>
        <color theme="1"/>
        <rFont val="Arial"/>
        <family val="2"/>
      </rPr>
      <t xml:space="preserve">Solid Block works for First Block Coarse, Around False Ceiling Fixing Premier </t>
    </r>
    <r>
      <rPr>
        <sz val="10"/>
        <color theme="1"/>
        <rFont val="Arial"/>
        <family val="2"/>
      </rPr>
      <t>Including all Necessary Works &amp; Accessories as Per Specifications &amp; Engineer Approval.</t>
    </r>
  </si>
  <si>
    <r>
      <t>Supply &amp; Apply</t>
    </r>
    <r>
      <rPr>
        <b/>
        <sz val="10"/>
        <color theme="1"/>
        <rFont val="Arial"/>
        <family val="2"/>
      </rPr>
      <t xml:space="preserve"> Fire Stopping Sealant  </t>
    </r>
    <r>
      <rPr>
        <sz val="10"/>
        <color theme="1"/>
        <rFont val="Arial"/>
        <family val="2"/>
      </rPr>
      <t>for All Penetrations and Façade Cladding /Curtain Walls</t>
    </r>
    <r>
      <rPr>
        <b/>
        <sz val="10"/>
        <color theme="1"/>
        <rFont val="Arial"/>
        <family val="2"/>
      </rPr>
      <t xml:space="preserve"> </t>
    </r>
    <r>
      <rPr>
        <sz val="10"/>
        <color theme="1"/>
        <rFont val="Arial"/>
        <family val="2"/>
      </rPr>
      <t xml:space="preserve">as Per Sharjah Municipality &amp; Civil Defense Requirements, and Project Specifications. </t>
    </r>
  </si>
  <si>
    <r>
      <t>Supply &amp; Apply</t>
    </r>
    <r>
      <rPr>
        <b/>
        <sz val="10"/>
        <color theme="1"/>
        <rFont val="Arial"/>
        <family val="2"/>
      </rPr>
      <t xml:space="preserve"> Internal plaster</t>
    </r>
    <r>
      <rPr>
        <sz val="10"/>
        <color theme="1"/>
        <rFont val="Arial"/>
        <family val="2"/>
      </rPr>
      <t xml:space="preserve"> for walls as specified in specifications and complete with all related accessories. As per Engineer Approval, Plaster above false ceiling to receive two coats of primer as per specifications. </t>
    </r>
  </si>
  <si>
    <r>
      <t>Supply &amp; Apply</t>
    </r>
    <r>
      <rPr>
        <b/>
        <sz val="10"/>
        <color theme="1"/>
        <rFont val="Arial"/>
        <family val="2"/>
      </rPr>
      <t xml:space="preserve"> Compo Roofing System</t>
    </r>
    <r>
      <rPr>
        <sz val="10"/>
        <color theme="1"/>
        <rFont val="Arial"/>
        <family val="2"/>
      </rPr>
      <t xml:space="preserve"> with PIR Foam &gt; 70 mm, as per Specifications &amp; Engineer Approval </t>
    </r>
  </si>
  <si>
    <r>
      <t xml:space="preserve">Supply &amp; Install Wooden Doors </t>
    </r>
    <r>
      <rPr>
        <b/>
        <sz val="10"/>
        <color theme="1"/>
        <rFont val="Arial"/>
        <family val="2"/>
      </rPr>
      <t>Ironmongery</t>
    </r>
    <r>
      <rPr>
        <sz val="10"/>
        <color theme="1"/>
        <rFont val="Arial"/>
        <family val="2"/>
      </rPr>
      <t>, including all necessary works as per Profession Standards &amp; Engineer Approval</t>
    </r>
  </si>
  <si>
    <r>
      <t xml:space="preserve">Supply &amp; Install </t>
    </r>
    <r>
      <rPr>
        <b/>
        <sz val="10"/>
        <color theme="1"/>
        <rFont val="Arial"/>
        <family val="2"/>
      </rPr>
      <t>plywood sub frame</t>
    </r>
    <r>
      <rPr>
        <sz val="10"/>
        <color theme="1"/>
        <rFont val="Arial"/>
        <family val="2"/>
      </rPr>
      <t>, minimum 18mm thick for all timber opening including fixing and all associated works.</t>
    </r>
  </si>
  <si>
    <r>
      <t xml:space="preserve">Supply &amp; Apply </t>
    </r>
    <r>
      <rPr>
        <b/>
        <sz val="10"/>
        <color theme="1"/>
        <rFont val="Arial"/>
        <family val="2"/>
      </rPr>
      <t>Power Floated Concrete with epoxy coating</t>
    </r>
    <r>
      <rPr>
        <sz val="10"/>
        <color theme="1"/>
        <rFont val="Arial"/>
        <family val="2"/>
      </rPr>
      <t xml:space="preserve"> Contractor rate to included all necessary works required   as per specifications and  &amp; Profession Standards &amp; Engineer Approval.</t>
    </r>
  </si>
  <si>
    <r>
      <t xml:space="preserve">Supply &amp; Fix Bathrooms </t>
    </r>
    <r>
      <rPr>
        <b/>
        <sz val="9"/>
        <color theme="1"/>
        <rFont val="Arial"/>
        <family val="2"/>
      </rPr>
      <t>Mirrors</t>
    </r>
    <r>
      <rPr>
        <sz val="9"/>
        <color theme="1"/>
        <rFont val="Arial"/>
        <family val="2"/>
      </rPr>
      <t xml:space="preserve"> as indicated by the Drawings Contractor rate to included all necessary works required   as per specifications and  &amp; Profession Standards &amp; Engineer Approval.</t>
    </r>
  </si>
  <si>
    <r>
      <t xml:space="preserve">Supply &amp; Fix </t>
    </r>
    <r>
      <rPr>
        <b/>
        <sz val="9"/>
        <color theme="1"/>
        <rFont val="Arial"/>
        <family val="2"/>
      </rPr>
      <t>Garbage Chute</t>
    </r>
    <r>
      <rPr>
        <sz val="9"/>
        <color theme="1"/>
        <rFont val="Arial"/>
        <family val="2"/>
      </rPr>
      <t xml:space="preserve"> Grade 316 S.S. as indicated by the Drawings and Specifications, Contractor rate to included all necessary works required   as per specifications and  &amp; Profession Standards &amp; Engineer Approval.</t>
    </r>
  </si>
  <si>
    <r>
      <t xml:space="preserve">Supply &amp; Fix </t>
    </r>
    <r>
      <rPr>
        <b/>
        <sz val="9"/>
        <color theme="1"/>
        <rFont val="Arial"/>
        <family val="2"/>
      </rPr>
      <t xml:space="preserve">Traffic Mirrors &amp; Signage for Parking Area  </t>
    </r>
    <r>
      <rPr>
        <sz val="9"/>
        <color theme="1"/>
        <rFont val="Arial"/>
        <family val="2"/>
      </rPr>
      <t>as indicated by the Drawings Contractor rate to included all necessary works required   as per specifications and  &amp; Profession Standards &amp; Engineer Approval.</t>
    </r>
  </si>
  <si>
    <r>
      <t xml:space="preserve">Supply &amp; Fix </t>
    </r>
    <r>
      <rPr>
        <b/>
        <sz val="9"/>
        <color theme="1"/>
        <rFont val="Arial"/>
        <family val="2"/>
      </rPr>
      <t>Column Guard</t>
    </r>
    <r>
      <rPr>
        <sz val="9"/>
        <color theme="1"/>
        <rFont val="Arial"/>
        <family val="2"/>
      </rPr>
      <t xml:space="preserve"> as indicated by the Drawings Contractor rate to included all necessary works required   as per specifications and  &amp; Profession Standards &amp; Engineer Approval.</t>
    </r>
  </si>
  <si>
    <r>
      <t xml:space="preserve">Supply &amp; Fix </t>
    </r>
    <r>
      <rPr>
        <b/>
        <sz val="9"/>
        <color theme="1"/>
        <rFont val="Arial"/>
        <family val="2"/>
      </rPr>
      <t>Wall Guard</t>
    </r>
    <r>
      <rPr>
        <sz val="9"/>
        <color theme="1"/>
        <rFont val="Arial"/>
        <family val="2"/>
      </rPr>
      <t xml:space="preserve"> as indicated by the Drawings Contractor rate to included all necessary works required   as per specifications and  &amp; Profession Standards &amp; Engineer Approval.</t>
    </r>
  </si>
  <si>
    <r>
      <t xml:space="preserve">Supply &amp; Fix </t>
    </r>
    <r>
      <rPr>
        <b/>
        <sz val="9"/>
        <color theme="1"/>
        <rFont val="Arial"/>
        <family val="2"/>
      </rPr>
      <t>RCC Wheel Stop</t>
    </r>
    <r>
      <rPr>
        <sz val="9"/>
        <color theme="1"/>
        <rFont val="Arial"/>
        <family val="2"/>
      </rPr>
      <t xml:space="preserve"> as indicated by the Drawings Contractor rate to included all necessary works required   as per specifications and  &amp; Profession Standards &amp; Engineer Approval.</t>
    </r>
  </si>
  <si>
    <r>
      <t xml:space="preserve">Supply &amp; Install Powder Coated Aluminum </t>
    </r>
    <r>
      <rPr>
        <b/>
        <sz val="11"/>
        <color theme="1"/>
        <rFont val="Arial"/>
        <family val="2"/>
      </rPr>
      <t xml:space="preserve">OTS Cover </t>
    </r>
    <r>
      <rPr>
        <sz val="11"/>
        <color theme="1"/>
        <rFont val="Arial"/>
        <family val="2"/>
      </rPr>
      <t>, with all necessary Structural Support as per Specifications &amp; arch drawings, design is upon shop drawings approval &amp; client approval.</t>
    </r>
  </si>
  <si>
    <t>F7</t>
  </si>
  <si>
    <t>Total Bill No. 13 Carried To Collection</t>
  </si>
  <si>
    <r>
      <t xml:space="preserve">Wash Basin, mixer &amp; Accessories ( PC Supply only rate: AED </t>
    </r>
    <r>
      <rPr>
        <b/>
        <sz val="10"/>
        <rFont val="Arial"/>
        <family val="2"/>
      </rPr>
      <t>900 /each</t>
    </r>
    <r>
      <rPr>
        <sz val="10"/>
        <rFont val="Arial"/>
        <family val="2"/>
      </rPr>
      <t>)</t>
    </r>
  </si>
  <si>
    <r>
      <t xml:space="preserve">Shower Mixer and Set  ( PC Supply only rate:  AED </t>
    </r>
    <r>
      <rPr>
        <b/>
        <sz val="10"/>
        <rFont val="Arial"/>
        <family val="2"/>
      </rPr>
      <t>500 /each</t>
    </r>
    <r>
      <rPr>
        <sz val="10"/>
        <rFont val="Arial"/>
        <family val="2"/>
      </rPr>
      <t>)</t>
    </r>
  </si>
  <si>
    <r>
      <t xml:space="preserve">Supply &amp; Provide RCC for </t>
    </r>
    <r>
      <rPr>
        <b/>
        <sz val="10"/>
        <color theme="1"/>
        <rFont val="Arial"/>
        <family val="2"/>
      </rPr>
      <t>Tie Beams</t>
    </r>
    <r>
      <rPr>
        <sz val="10"/>
        <color theme="1"/>
        <rFont val="Arial"/>
        <family val="2"/>
      </rPr>
      <t xml:space="preserve"> Including Form Work, Steel Reinforcement and Necessary Items as Per Specifications &amp; Engineer Approval  </t>
    </r>
  </si>
  <si>
    <r>
      <t xml:space="preserve">Supply &amp; Provide RCC for </t>
    </r>
    <r>
      <rPr>
        <b/>
        <sz val="10"/>
        <color theme="1"/>
        <rFont val="Arial"/>
        <family val="2"/>
      </rPr>
      <t>Strap Beams</t>
    </r>
    <r>
      <rPr>
        <sz val="10"/>
        <color theme="1"/>
        <rFont val="Arial"/>
        <family val="2"/>
      </rPr>
      <t xml:space="preserve"> Including Form Work, Steel Reinforcement and Necessary Items as Per Specifications &amp; Engineer Approval  </t>
    </r>
  </si>
  <si>
    <r>
      <t xml:space="preserve">Supply &amp; Provide RCC for </t>
    </r>
    <r>
      <rPr>
        <b/>
        <sz val="10"/>
        <color theme="1"/>
        <rFont val="Arial"/>
        <family val="2"/>
      </rPr>
      <t>Neck Walls</t>
    </r>
    <r>
      <rPr>
        <sz val="10"/>
        <color theme="1"/>
        <rFont val="Arial"/>
        <family val="2"/>
      </rPr>
      <t xml:space="preserve"> Including Form Work, Steel Reinforcement and Necessary Items as Per Specifications &amp; Engineer Approval   </t>
    </r>
  </si>
  <si>
    <r>
      <t>Supply &amp; Provide</t>
    </r>
    <r>
      <rPr>
        <b/>
        <sz val="10"/>
        <color theme="1"/>
        <rFont val="Arial"/>
        <family val="2"/>
      </rPr>
      <t xml:space="preserve"> RCC for Beams</t>
    </r>
    <r>
      <rPr>
        <sz val="10"/>
        <color theme="1"/>
        <rFont val="Arial"/>
        <family val="2"/>
      </rPr>
      <t xml:space="preserve"> Including Form Work, Steel Reinforcement and Necessary Items as Per Specifications, Structure Drawings &amp; Engineer Approval  </t>
    </r>
  </si>
  <si>
    <r>
      <t xml:space="preserve">Supply &amp; Provide </t>
    </r>
    <r>
      <rPr>
        <b/>
        <sz val="10"/>
        <color theme="1"/>
        <rFont val="Arial"/>
        <family val="2"/>
      </rPr>
      <t>RCC for Slabs</t>
    </r>
    <r>
      <rPr>
        <sz val="10"/>
        <color theme="1"/>
        <rFont val="Arial"/>
        <family val="2"/>
      </rPr>
      <t xml:space="preserve"> Including Form Work, Steel Reinforcement and Necessary Items as Per Specifications, Structure Drawings &amp; Engineer Approval  </t>
    </r>
  </si>
  <si>
    <r>
      <t xml:space="preserve">Supply &amp; Provide </t>
    </r>
    <r>
      <rPr>
        <b/>
        <sz val="10"/>
        <color theme="1"/>
        <rFont val="Arial"/>
        <family val="2"/>
      </rPr>
      <t>RCC for Stair Slabs &amp; Flights</t>
    </r>
    <r>
      <rPr>
        <sz val="10"/>
        <color theme="1"/>
        <rFont val="Arial"/>
        <family val="2"/>
      </rPr>
      <t xml:space="preserve"> Including Form Work, Steel Reinforcement and Necessary Items as Per Specifications, Structure Drawings &amp; Engineer Approval  </t>
    </r>
  </si>
  <si>
    <r>
      <t xml:space="preserve">Supply &amp; Provide </t>
    </r>
    <r>
      <rPr>
        <b/>
        <sz val="10"/>
        <color theme="1"/>
        <rFont val="Arial"/>
        <family val="2"/>
      </rPr>
      <t>RCC for Parapets</t>
    </r>
    <r>
      <rPr>
        <sz val="10"/>
        <color theme="1"/>
        <rFont val="Arial"/>
        <family val="2"/>
      </rPr>
      <t xml:space="preserve"> Including Form Work, Steel Reinforcement and Necessary Items as Per Specifications, Structure Drawings &amp; Engineer Approval  </t>
    </r>
  </si>
  <si>
    <r>
      <t xml:space="preserve">Supply &amp; Provide </t>
    </r>
    <r>
      <rPr>
        <b/>
        <sz val="10"/>
        <color theme="1"/>
        <rFont val="Arial"/>
        <family val="2"/>
      </rPr>
      <t>RCC for Upstands</t>
    </r>
    <r>
      <rPr>
        <sz val="10"/>
        <color theme="1"/>
        <rFont val="Arial"/>
        <family val="2"/>
      </rPr>
      <t xml:space="preserve">  Including Form Work, Steel Reinforcement and Necessary Items as Per Specifications, Structure Drawings &amp; Engineer Approval  </t>
    </r>
  </si>
  <si>
    <r>
      <t xml:space="preserve">Supply &amp; Provide </t>
    </r>
    <r>
      <rPr>
        <b/>
        <sz val="10"/>
        <color theme="1"/>
        <rFont val="Arial"/>
        <family val="2"/>
      </rPr>
      <t>RCC for Lintels/arches/etc</t>
    </r>
    <r>
      <rPr>
        <sz val="10"/>
        <color theme="1"/>
        <rFont val="Arial"/>
        <family val="2"/>
      </rPr>
      <t xml:space="preserve">.  Including Form Work, Steel Reinforcement and Necessary Items as Per Specifications &amp; Engineer Approval  </t>
    </r>
  </si>
  <si>
    <r>
      <t xml:space="preserve">Supply &amp; Provide </t>
    </r>
    <r>
      <rPr>
        <b/>
        <sz val="10"/>
        <color theme="1"/>
        <rFont val="Arial"/>
        <family val="2"/>
      </rPr>
      <t>RCC for Entrance Steps</t>
    </r>
    <r>
      <rPr>
        <sz val="10"/>
        <color theme="1"/>
        <rFont val="Arial"/>
        <family val="2"/>
      </rPr>
      <t xml:space="preserve"> and Ramps Including Form Work, Steel Reinforcement and Necessary Items as Per Specifications, Structure Drawings &amp; Engineer Approval  </t>
    </r>
  </si>
  <si>
    <t>Piling Works</t>
  </si>
  <si>
    <t xml:space="preserve">Pilling Work </t>
  </si>
  <si>
    <t xml:space="preserve">All pilling tests as per spec. </t>
  </si>
  <si>
    <t xml:space="preserve">Cutting of piles head </t>
  </si>
  <si>
    <t xml:space="preserve">Treatment and water proofing for all piles </t>
  </si>
  <si>
    <r>
      <t xml:space="preserve">Supply &amp; Provide RCC for </t>
    </r>
    <r>
      <rPr>
        <b/>
        <sz val="10"/>
        <color theme="1"/>
        <rFont val="Arial"/>
        <family val="2"/>
      </rPr>
      <t>Pile Caps</t>
    </r>
    <r>
      <rPr>
        <sz val="10"/>
        <color theme="1"/>
        <rFont val="Arial"/>
        <family val="2"/>
      </rPr>
      <t xml:space="preserve"> Including Form Work, Steel Reinforcement and Necessary Items as Per Specifications &amp; Engineer Approval  </t>
    </r>
  </si>
  <si>
    <r>
      <t xml:space="preserve">Damp proof Course </t>
    </r>
    <r>
      <rPr>
        <b/>
        <sz val="10"/>
        <color theme="1"/>
        <rFont val="Arial"/>
        <family val="2"/>
      </rPr>
      <t>(DPC) BituSeal 1000 self-adhesive</t>
    </r>
    <r>
      <rPr>
        <sz val="10"/>
        <color theme="1"/>
        <rFont val="Arial"/>
        <family val="2"/>
      </rPr>
      <t>, first line for block works at ground floor and around all wet areas (Kitchens, baths, toilets, Balconies for all floors)</t>
    </r>
  </si>
  <si>
    <r>
      <t xml:space="preserve">Supply &amp; Apply </t>
    </r>
    <r>
      <rPr>
        <b/>
        <sz val="10"/>
        <color theme="1"/>
        <rFont val="Arial"/>
        <family val="2"/>
      </rPr>
      <t>2 Coats Of Acrylic, Cementitious Waterproof</t>
    </r>
    <r>
      <rPr>
        <sz val="10"/>
        <color theme="1"/>
        <rFont val="Arial"/>
        <family val="2"/>
      </rPr>
      <t>, for Internal Surfaces of Manholes as per Specifications and Engineer's Approval</t>
    </r>
  </si>
  <si>
    <r>
      <t xml:space="preserve">Supply &amp; Apply </t>
    </r>
    <r>
      <rPr>
        <b/>
        <sz val="10"/>
        <color theme="1"/>
        <rFont val="Arial"/>
        <family val="2"/>
      </rPr>
      <t>Substructure solid block</t>
    </r>
    <r>
      <rPr>
        <sz val="10"/>
        <color theme="1"/>
        <rFont val="Arial"/>
        <family val="2"/>
      </rPr>
      <t xml:space="preserve"> Under External Tie Beams including all necessary Items As per Specifications, Drawings &amp; Engineer Approval</t>
    </r>
  </si>
  <si>
    <r>
      <t xml:space="preserve">Supply &amp; Provide </t>
    </r>
    <r>
      <rPr>
        <b/>
        <sz val="10"/>
        <color theme="1"/>
        <rFont val="Arial"/>
        <family val="2"/>
      </rPr>
      <t>RCC Slab On Grade</t>
    </r>
    <r>
      <rPr>
        <sz val="10"/>
        <color theme="1"/>
        <rFont val="Arial"/>
        <family val="2"/>
      </rPr>
      <t xml:space="preserve"> ( SOG/ Slab on Ground ) with BRC mesh A252 or as indicated in the Structural Drawings above 95% Well Compacted Soil, and 1000 g Polyethylene Sheet. Including Form Work, Steel Reinforcement and Necessary Items as Per Specifications &amp; Engineer Approval  </t>
    </r>
  </si>
  <si>
    <r>
      <t xml:space="preserve">Supply &amp; Provide RCC for </t>
    </r>
    <r>
      <rPr>
        <b/>
        <sz val="10"/>
        <color theme="1"/>
        <rFont val="Arial"/>
        <family val="2"/>
      </rPr>
      <t>Post-tension Slabs</t>
    </r>
    <r>
      <rPr>
        <sz val="10"/>
        <color theme="1"/>
        <rFont val="Arial"/>
        <family val="2"/>
      </rPr>
      <t xml:space="preserve"> Including Form Work, Steel Reinforcement and Necessary Items as per Specifications, Structure Drawings &amp; Engineer Approval</t>
    </r>
  </si>
  <si>
    <t>Supply &amp; Provide foundations for MEP equipments and water tanks at the roof.</t>
  </si>
  <si>
    <r>
      <t xml:space="preserve">Supply &amp; Apply  </t>
    </r>
    <r>
      <rPr>
        <b/>
        <sz val="10"/>
        <color theme="1"/>
        <rFont val="Arial"/>
        <family val="2"/>
      </rPr>
      <t xml:space="preserve">Thermal Concrete Blocks </t>
    </r>
    <r>
      <rPr>
        <sz val="10"/>
        <color theme="1"/>
        <rFont val="Arial"/>
        <family val="2"/>
      </rPr>
      <t>bedded and jointed in cement  sand mortar (1:3) Including all Necessary Works &amp; Accessories as Per Specifications &amp; Engineer Approval.</t>
    </r>
  </si>
  <si>
    <t xml:space="preserve">300 mm thick </t>
  </si>
  <si>
    <t xml:space="preserve">400 mm thick </t>
  </si>
  <si>
    <t xml:space="preserve">250 mm thick </t>
  </si>
  <si>
    <t xml:space="preserve">350 mm thick </t>
  </si>
  <si>
    <t>EXTERNAL WORKS</t>
  </si>
  <si>
    <t>COLLECTION OF BILLS No.  1 to  14   : SUMMARY PAGE</t>
  </si>
  <si>
    <t>Total Bill No. 14 Carried To Collection</t>
  </si>
  <si>
    <t xml:space="preserve">BILL NO. 14    : PROVISIONAL SUMS WORKS  </t>
  </si>
  <si>
    <t>BILL NO. 13   :  FITTING, FIXTURES &amp; EQUIPMENT</t>
  </si>
  <si>
    <r>
      <t xml:space="preserve">Supply &amp; Provide all  Works for </t>
    </r>
    <r>
      <rPr>
        <b/>
        <sz val="10"/>
        <color theme="1"/>
        <rFont val="Arial"/>
        <family val="2"/>
      </rPr>
      <t>Manholes</t>
    </r>
    <r>
      <rPr>
        <sz val="10"/>
        <color theme="1"/>
        <rFont val="Arial"/>
        <family val="2"/>
      </rPr>
      <t xml:space="preserve"> ,Contractor rate to included all necessary works required   as per specifications and  &amp; Profession Standards &amp; Engineer Approval.</t>
    </r>
  </si>
  <si>
    <r>
      <t>m</t>
    </r>
    <r>
      <rPr>
        <vertAlign val="superscript"/>
        <sz val="11"/>
        <color theme="1"/>
        <rFont val="Arial"/>
        <family val="2"/>
      </rPr>
      <t>2</t>
    </r>
  </si>
  <si>
    <r>
      <t xml:space="preserve">Supply &amp; Provide </t>
    </r>
    <r>
      <rPr>
        <b/>
        <sz val="10"/>
        <color theme="1"/>
        <rFont val="Arial"/>
        <family val="2"/>
      </rPr>
      <t>8 CM Thick Interlocking Pavement for Parking / Drive Way</t>
    </r>
    <r>
      <rPr>
        <sz val="10"/>
        <color theme="1"/>
        <rFont val="Arial"/>
        <family val="2"/>
      </rPr>
      <t xml:space="preserve">  </t>
    </r>
    <r>
      <rPr>
        <sz val="10"/>
        <color theme="4" tint="-0.249977111117893"/>
        <rFont val="Arial"/>
        <family val="2"/>
      </rPr>
      <t>(Inside plot limit)</t>
    </r>
    <r>
      <rPr>
        <sz val="10"/>
        <color theme="1"/>
        <rFont val="Arial"/>
        <family val="2"/>
      </rPr>
      <t xml:space="preserve"> </t>
    </r>
    <r>
      <rPr>
        <b/>
        <sz val="10"/>
        <color theme="1"/>
        <rFont val="Arial"/>
        <family val="2"/>
      </rPr>
      <t>as indicated by the Drawings</t>
    </r>
    <r>
      <rPr>
        <sz val="10"/>
        <color theme="1"/>
        <rFont val="Arial"/>
        <family val="2"/>
      </rPr>
      <t xml:space="preserve"> ,Contractor rate to included all necessary works required   as per specifications and  &amp; Profession Standards &amp; Engineer Approval.</t>
    </r>
  </si>
  <si>
    <r>
      <t xml:space="preserve">Supply &amp; Provide </t>
    </r>
    <r>
      <rPr>
        <b/>
        <sz val="10"/>
        <color theme="1"/>
        <rFont val="Arial"/>
        <family val="2"/>
      </rPr>
      <t>8 CM Thick Interlocking Pavement for Parking / Drive Way</t>
    </r>
    <r>
      <rPr>
        <sz val="10"/>
        <color theme="1"/>
        <rFont val="Arial"/>
        <family val="2"/>
      </rPr>
      <t xml:space="preserve">  </t>
    </r>
    <r>
      <rPr>
        <sz val="10"/>
        <color rgb="FFFF0000"/>
        <rFont val="Arial"/>
        <family val="2"/>
      </rPr>
      <t>(outside plot limit)</t>
    </r>
    <r>
      <rPr>
        <sz val="10"/>
        <color theme="1"/>
        <rFont val="Arial"/>
        <family val="2"/>
      </rPr>
      <t xml:space="preserve"> </t>
    </r>
    <r>
      <rPr>
        <b/>
        <sz val="10"/>
        <color theme="1"/>
        <rFont val="Arial"/>
        <family val="2"/>
      </rPr>
      <t>as indicated by the Drawings</t>
    </r>
    <r>
      <rPr>
        <sz val="10"/>
        <color theme="1"/>
        <rFont val="Arial"/>
        <family val="2"/>
      </rPr>
      <t xml:space="preserve"> ,Contractor rate to included all necessary works required   as per specifications and  &amp; Profession Standards &amp; Engineer Approval.</t>
    </r>
  </si>
  <si>
    <t>Rm</t>
  </si>
  <si>
    <r>
      <rPr>
        <b/>
        <sz val="10"/>
        <color theme="1"/>
        <rFont val="Arial"/>
        <family val="2"/>
      </rPr>
      <t>Additional Items:</t>
    </r>
    <r>
      <rPr>
        <sz val="10"/>
        <color theme="1"/>
        <rFont val="Arial"/>
        <family val="2"/>
      </rPr>
      <t xml:space="preserve">
The contractor to detail below any additional items   (with quantities and rates) shown in the drawings, mentioned in the specs. And /or required for satisfactory completion of the buildup of the lump sum project price of this section of works. Should the contractor fail to insert any item in this section, it will be deemed that his lump sum price for the entire project included all items and no subsequent claim for any additional items will be entertained.</t>
    </r>
  </si>
  <si>
    <t xml:space="preserve">BILL NO. 12   :  EXTERNAL WORKS </t>
  </si>
  <si>
    <r>
      <rPr>
        <b/>
        <sz val="10"/>
        <color theme="1"/>
        <rFont val="Arial"/>
        <family val="2"/>
      </rPr>
      <t>SANITARY WARES</t>
    </r>
    <r>
      <rPr>
        <sz val="10"/>
        <color theme="1"/>
        <rFont val="Arial"/>
        <family val="2"/>
      </rPr>
      <t xml:space="preserve">
Include the following provisional sum amounts for Supply only of Sanitary Ware and Accessories.</t>
    </r>
  </si>
  <si>
    <r>
      <t xml:space="preserve">WC Seat &amp; Accessories ( PC Supply only rate: AED </t>
    </r>
    <r>
      <rPr>
        <b/>
        <sz val="10"/>
        <rFont val="Arial"/>
        <family val="2"/>
      </rPr>
      <t>1,800 / each</t>
    </r>
    <r>
      <rPr>
        <sz val="10"/>
        <rFont val="Arial"/>
        <family val="2"/>
      </rPr>
      <t>)</t>
    </r>
  </si>
  <si>
    <r>
      <t xml:space="preserve">Include a provisional sum of </t>
    </r>
    <r>
      <rPr>
        <b/>
        <sz val="10"/>
        <color theme="1"/>
        <rFont val="Arial"/>
        <family val="2"/>
      </rPr>
      <t>AED 15,000</t>
    </r>
    <r>
      <rPr>
        <sz val="10"/>
        <color theme="1"/>
        <rFont val="Arial"/>
        <family val="2"/>
      </rPr>
      <t xml:space="preserve">  for the supply &amp; Install of </t>
    </r>
    <r>
      <rPr>
        <b/>
        <sz val="10"/>
        <color theme="1"/>
        <rFont val="Arial"/>
        <family val="2"/>
      </rPr>
      <t>Reception Counter</t>
    </r>
  </si>
  <si>
    <r>
      <t xml:space="preserve">Supply &amp; Provide RCC for </t>
    </r>
    <r>
      <rPr>
        <b/>
        <sz val="10"/>
        <color theme="1"/>
        <rFont val="Arial"/>
        <family val="2"/>
      </rPr>
      <t xml:space="preserve">Neck Columns and Neck Walls </t>
    </r>
    <r>
      <rPr>
        <sz val="10"/>
        <color theme="1"/>
        <rFont val="Arial"/>
        <family val="2"/>
      </rPr>
      <t xml:space="preserve">Including Form Work, Steel Reinforcement and Necessary Items as Per Specifications &amp; Engineer Approval   </t>
    </r>
  </si>
  <si>
    <r>
      <t xml:space="preserve">Supply &amp; Provide </t>
    </r>
    <r>
      <rPr>
        <b/>
        <sz val="10"/>
        <color theme="1"/>
        <rFont val="Arial"/>
        <family val="2"/>
      </rPr>
      <t>RCC for Parking Ramps</t>
    </r>
    <r>
      <rPr>
        <sz val="10"/>
        <color theme="1"/>
        <rFont val="Arial"/>
        <family val="2"/>
      </rPr>
      <t xml:space="preserve"> Including Form Work, Steel Reinforcement and Necessary Items as Per Specifications, Structure Drawings &amp; Engineer Approval</t>
    </r>
  </si>
  <si>
    <t>Supply &amp; Provide  10 cm high PCC Base below Kitchen Cabinets and Wardrobes</t>
  </si>
  <si>
    <t>PC= 500 AED/ Door with Closer or panic bar</t>
  </si>
  <si>
    <t>For lower Cabinets AED 500/RM</t>
  </si>
  <si>
    <t>For upper Cabinets AED 500/RM</t>
  </si>
  <si>
    <t>Granite Counter Top AED 400/RM</t>
  </si>
  <si>
    <r>
      <t xml:space="preserve">Supply &amp; Install </t>
    </r>
    <r>
      <rPr>
        <b/>
        <sz val="10"/>
        <color theme="1"/>
        <rFont val="Arial"/>
        <family val="2"/>
      </rPr>
      <t>Kitchen Cabinets</t>
    </r>
    <r>
      <rPr>
        <sz val="10"/>
        <color theme="1"/>
        <rFont val="Arial"/>
        <family val="2"/>
      </rPr>
      <t xml:space="preserve"> (Prime Supply Cost </t>
    </r>
    <r>
      <rPr>
        <b/>
        <sz val="10"/>
        <color theme="1"/>
        <rFont val="Arial"/>
        <family val="2"/>
      </rPr>
      <t>as detailed below</t>
    </r>
    <r>
      <rPr>
        <sz val="10"/>
        <color theme="1"/>
        <rFont val="Arial"/>
        <family val="2"/>
      </rPr>
      <t>), including all necessary works as per Profession Standards &amp; Engineer Approval</t>
    </r>
  </si>
  <si>
    <r>
      <t xml:space="preserve">Supply &amp; Apply </t>
    </r>
    <r>
      <rPr>
        <b/>
        <sz val="10"/>
        <color theme="1"/>
        <rFont val="Arial"/>
        <family val="2"/>
      </rPr>
      <t>2 coat an A</t>
    </r>
    <r>
      <rPr>
        <b/>
        <sz val="10"/>
        <color rgb="FF000000"/>
        <rFont val="Arial"/>
        <family val="2"/>
      </rPr>
      <t xml:space="preserve">crylic, Cementitious Waterproof </t>
    </r>
    <r>
      <rPr>
        <sz val="10"/>
        <color rgb="FF000000"/>
        <rFont val="Arial"/>
        <family val="2"/>
      </rPr>
      <t xml:space="preserve">for the Wet Areas, including but not limited t the following areas, this Include floor area &amp; Skirting and Polyethylene Protection Sheet </t>
    </r>
  </si>
  <si>
    <t>Balconies</t>
  </si>
  <si>
    <t>Bathrooms</t>
  </si>
  <si>
    <t>Kitchens</t>
  </si>
  <si>
    <t>Any other wet areas</t>
  </si>
  <si>
    <r>
      <t xml:space="preserve">Supply And Install Heavy Duty U/G Tank Access </t>
    </r>
    <r>
      <rPr>
        <b/>
        <sz val="11"/>
        <color theme="1"/>
        <rFont val="Arial"/>
        <family val="2"/>
      </rPr>
      <t>Manhole Cover</t>
    </r>
  </si>
  <si>
    <t>Supply &amp; Provide  10 cm high RCC slabs for Block Works Nich as indicated on Arch drawings.</t>
  </si>
  <si>
    <t xml:space="preserve">
FLOORING WORKS</t>
  </si>
  <si>
    <r>
      <t>Supply &amp; Install</t>
    </r>
    <r>
      <rPr>
        <b/>
        <sz val="11"/>
        <color theme="1"/>
        <rFont val="Arial"/>
        <family val="2"/>
      </rPr>
      <t xml:space="preserve"> </t>
    </r>
    <r>
      <rPr>
        <b/>
        <i/>
        <sz val="11"/>
        <color theme="4" tint="-0.249977111117893"/>
        <rFont val="Arial"/>
        <family val="2"/>
      </rPr>
      <t>Type 01</t>
    </r>
    <r>
      <rPr>
        <sz val="11"/>
        <color theme="1"/>
        <rFont val="Arial"/>
        <family val="2"/>
      </rPr>
      <t xml:space="preserve"> </t>
    </r>
    <r>
      <rPr>
        <b/>
        <sz val="11"/>
        <color theme="1"/>
        <rFont val="Arial"/>
        <family val="2"/>
      </rPr>
      <t>Natural Granite Flooring</t>
    </r>
    <r>
      <rPr>
        <sz val="11"/>
        <color theme="1"/>
        <rFont val="Arial"/>
        <family val="2"/>
      </rPr>
      <t xml:space="preserve"> ( Prime Cost for Granite </t>
    </r>
    <r>
      <rPr>
        <b/>
        <i/>
        <sz val="11"/>
        <color rgb="FF0070C0"/>
        <rFont val="Arial"/>
        <family val="2"/>
      </rPr>
      <t>supply only</t>
    </r>
    <r>
      <rPr>
        <b/>
        <sz val="11"/>
        <color theme="1"/>
        <rFont val="Arial"/>
        <family val="2"/>
      </rPr>
      <t xml:space="preserve"> rate of </t>
    </r>
    <r>
      <rPr>
        <b/>
        <sz val="11"/>
        <color rgb="FFFF0000"/>
        <rFont val="Arial"/>
        <family val="2"/>
      </rPr>
      <t>300</t>
    </r>
    <r>
      <rPr>
        <b/>
        <sz val="11"/>
        <color theme="1"/>
        <rFont val="Arial"/>
        <family val="2"/>
      </rPr>
      <t xml:space="preserve"> AED/m</t>
    </r>
    <r>
      <rPr>
        <b/>
        <vertAlign val="superscript"/>
        <sz val="11"/>
        <color theme="1"/>
        <rFont val="Arial"/>
        <family val="2"/>
      </rPr>
      <t>2</t>
    </r>
    <r>
      <rPr>
        <sz val="11"/>
        <color theme="1"/>
        <rFont val="Arial"/>
        <family val="2"/>
      </rPr>
      <t>), Contractor rate to include all necessary works required   as per specifications, profession standards &amp; engineer approval.</t>
    </r>
  </si>
  <si>
    <r>
      <t>Supply &amp; Install</t>
    </r>
    <r>
      <rPr>
        <b/>
        <sz val="11"/>
        <color theme="1"/>
        <rFont val="Arial"/>
        <family val="2"/>
      </rPr>
      <t xml:space="preserve"> </t>
    </r>
    <r>
      <rPr>
        <b/>
        <i/>
        <sz val="11"/>
        <color theme="4" tint="-0.249977111117893"/>
        <rFont val="Arial"/>
        <family val="2"/>
      </rPr>
      <t>Type 02</t>
    </r>
    <r>
      <rPr>
        <sz val="11"/>
        <color theme="1"/>
        <rFont val="Arial"/>
        <family val="2"/>
      </rPr>
      <t xml:space="preserve"> </t>
    </r>
    <r>
      <rPr>
        <b/>
        <sz val="11"/>
        <color theme="1"/>
        <rFont val="Arial"/>
        <family val="2"/>
      </rPr>
      <t>Natural Granite Flooring</t>
    </r>
    <r>
      <rPr>
        <sz val="11"/>
        <color theme="1"/>
        <rFont val="Arial"/>
        <family val="2"/>
      </rPr>
      <t xml:space="preserve"> ( Prime Cost for Granite </t>
    </r>
    <r>
      <rPr>
        <b/>
        <i/>
        <sz val="11"/>
        <color rgb="FF0070C0"/>
        <rFont val="Arial"/>
        <family val="2"/>
      </rPr>
      <t xml:space="preserve">supply only </t>
    </r>
    <r>
      <rPr>
        <b/>
        <sz val="11"/>
        <color theme="1"/>
        <rFont val="Arial"/>
        <family val="2"/>
      </rPr>
      <t xml:space="preserve">rate of </t>
    </r>
    <r>
      <rPr>
        <b/>
        <sz val="11"/>
        <color rgb="FFFF0000"/>
        <rFont val="Arial"/>
        <family val="2"/>
      </rPr>
      <t>150</t>
    </r>
    <r>
      <rPr>
        <b/>
        <sz val="11"/>
        <color theme="1"/>
        <rFont val="Arial"/>
        <family val="2"/>
      </rPr>
      <t xml:space="preserve"> AED/m</t>
    </r>
    <r>
      <rPr>
        <b/>
        <vertAlign val="superscript"/>
        <sz val="11"/>
        <color theme="1"/>
        <rFont val="Arial"/>
        <family val="2"/>
      </rPr>
      <t>2</t>
    </r>
    <r>
      <rPr>
        <sz val="11"/>
        <color theme="1"/>
        <rFont val="Arial"/>
        <family val="2"/>
      </rPr>
      <t>), Contractor rate to include all necessary works required   as per specifications, profession standards &amp; engineer approval.</t>
    </r>
  </si>
  <si>
    <r>
      <t xml:space="preserve">Supply &amp; Install </t>
    </r>
    <r>
      <rPr>
        <b/>
        <sz val="11"/>
        <color theme="1"/>
        <rFont val="Arial"/>
        <family val="2"/>
      </rPr>
      <t>Natural Marble Flooring</t>
    </r>
    <r>
      <rPr>
        <sz val="11"/>
        <color theme="1"/>
        <rFont val="Arial"/>
        <family val="2"/>
      </rPr>
      <t xml:space="preserve"> ( Prime Cost for Marble </t>
    </r>
    <r>
      <rPr>
        <b/>
        <i/>
        <sz val="11"/>
        <color rgb="FF0070C0"/>
        <rFont val="Arial"/>
        <family val="2"/>
      </rPr>
      <t>supply only</t>
    </r>
    <r>
      <rPr>
        <b/>
        <sz val="11"/>
        <color theme="5" tint="-0.249977111117893"/>
        <rFont val="Arial"/>
        <family val="2"/>
      </rPr>
      <t xml:space="preserve"> </t>
    </r>
    <r>
      <rPr>
        <b/>
        <sz val="11"/>
        <color theme="1"/>
        <rFont val="Arial"/>
        <family val="2"/>
      </rPr>
      <t xml:space="preserve">rate of </t>
    </r>
    <r>
      <rPr>
        <b/>
        <sz val="11"/>
        <color rgb="FFFF0000"/>
        <rFont val="Arial"/>
        <family val="2"/>
      </rPr>
      <t>400</t>
    </r>
    <r>
      <rPr>
        <b/>
        <sz val="11"/>
        <color theme="1"/>
        <rFont val="Arial"/>
        <family val="2"/>
      </rPr>
      <t xml:space="preserve"> AED/m</t>
    </r>
    <r>
      <rPr>
        <b/>
        <vertAlign val="superscript"/>
        <sz val="11"/>
        <color theme="1"/>
        <rFont val="Arial"/>
        <family val="2"/>
      </rPr>
      <t>2</t>
    </r>
    <r>
      <rPr>
        <sz val="11"/>
        <color theme="1"/>
        <rFont val="Arial"/>
        <family val="2"/>
      </rPr>
      <t>), Contractor rate to include all necessary works required   as per specifications, profession standards &amp; engineer approval.</t>
    </r>
  </si>
  <si>
    <r>
      <t xml:space="preserve">Supply &amp; Install </t>
    </r>
    <r>
      <rPr>
        <b/>
        <i/>
        <sz val="11"/>
        <color theme="4" tint="-0.249977111117893"/>
        <rFont val="Arial"/>
        <family val="2"/>
      </rPr>
      <t>Type 01</t>
    </r>
    <r>
      <rPr>
        <sz val="11"/>
        <color theme="1"/>
        <rFont val="Arial"/>
        <family val="2"/>
      </rPr>
      <t xml:space="preserve"> </t>
    </r>
    <r>
      <rPr>
        <b/>
        <sz val="11"/>
        <color theme="1"/>
        <rFont val="Arial"/>
        <family val="2"/>
      </rPr>
      <t xml:space="preserve"> Porcelain  Flooring Tiles</t>
    </r>
    <r>
      <rPr>
        <sz val="11"/>
        <color theme="1"/>
        <rFont val="Arial"/>
        <family val="2"/>
      </rPr>
      <t xml:space="preserve"> Prime Cost for</t>
    </r>
    <r>
      <rPr>
        <b/>
        <sz val="11"/>
        <color theme="1"/>
        <rFont val="Arial"/>
        <family val="2"/>
      </rPr>
      <t xml:space="preserve"> Tile </t>
    </r>
    <r>
      <rPr>
        <b/>
        <i/>
        <sz val="11"/>
        <color rgb="FF0070C0"/>
        <rFont val="Arial"/>
        <family val="2"/>
      </rPr>
      <t>supply</t>
    </r>
    <r>
      <rPr>
        <b/>
        <sz val="11"/>
        <color theme="1"/>
        <rFont val="Arial"/>
        <family val="2"/>
      </rPr>
      <t xml:space="preserve"> </t>
    </r>
    <r>
      <rPr>
        <b/>
        <i/>
        <sz val="11"/>
        <color rgb="FF0070C0"/>
        <rFont val="Arial"/>
        <family val="2"/>
      </rPr>
      <t>only</t>
    </r>
    <r>
      <rPr>
        <b/>
        <sz val="11"/>
        <color theme="1"/>
        <rFont val="Arial"/>
        <family val="2"/>
      </rPr>
      <t xml:space="preserve"> rate of </t>
    </r>
    <r>
      <rPr>
        <b/>
        <sz val="11"/>
        <color rgb="FFFF0000"/>
        <rFont val="Arial"/>
        <family val="2"/>
      </rPr>
      <t>70</t>
    </r>
    <r>
      <rPr>
        <b/>
        <sz val="11"/>
        <color theme="1"/>
        <rFont val="Arial"/>
        <family val="2"/>
      </rPr>
      <t xml:space="preserve"> AED/ m</t>
    </r>
    <r>
      <rPr>
        <b/>
        <vertAlign val="superscript"/>
        <sz val="11"/>
        <color theme="1"/>
        <rFont val="Arial"/>
        <family val="2"/>
      </rPr>
      <t>2</t>
    </r>
    <r>
      <rPr>
        <sz val="11"/>
        <color theme="1"/>
        <rFont val="Arial"/>
        <family val="2"/>
      </rPr>
      <t>, Contractor rate to include all necessary works required   as per specifications, profession standards &amp; engineer approval.</t>
    </r>
  </si>
  <si>
    <r>
      <t>Supply &amp; Install</t>
    </r>
    <r>
      <rPr>
        <b/>
        <sz val="11"/>
        <color theme="1"/>
        <rFont val="Arial"/>
        <family val="2"/>
      </rPr>
      <t xml:space="preserve"> </t>
    </r>
    <r>
      <rPr>
        <b/>
        <i/>
        <sz val="11"/>
        <color theme="4" tint="-0.249977111117893"/>
        <rFont val="Arial"/>
        <family val="2"/>
      </rPr>
      <t>Type 02</t>
    </r>
    <r>
      <rPr>
        <b/>
        <sz val="11"/>
        <color theme="1"/>
        <rFont val="Arial"/>
        <family val="2"/>
      </rPr>
      <t xml:space="preserve"> Porcelain  Flooring Tiles</t>
    </r>
    <r>
      <rPr>
        <sz val="11"/>
        <color theme="1"/>
        <rFont val="Arial"/>
        <family val="2"/>
      </rPr>
      <t xml:space="preserve"> Prime Cost for</t>
    </r>
    <r>
      <rPr>
        <b/>
        <sz val="11"/>
        <color theme="1"/>
        <rFont val="Arial"/>
        <family val="2"/>
      </rPr>
      <t xml:space="preserve"> Tile </t>
    </r>
    <r>
      <rPr>
        <b/>
        <i/>
        <sz val="11"/>
        <color rgb="FF0070C0"/>
        <rFont val="Arial"/>
        <family val="2"/>
      </rPr>
      <t xml:space="preserve">supply only </t>
    </r>
    <r>
      <rPr>
        <b/>
        <sz val="11"/>
        <color theme="1"/>
        <rFont val="Arial"/>
        <family val="2"/>
      </rPr>
      <t xml:space="preserve">rate of </t>
    </r>
    <r>
      <rPr>
        <b/>
        <sz val="11"/>
        <color rgb="FFFF0000"/>
        <rFont val="Arial"/>
        <family val="2"/>
      </rPr>
      <t>50</t>
    </r>
    <r>
      <rPr>
        <b/>
        <sz val="11"/>
        <color theme="1"/>
        <rFont val="Arial"/>
        <family val="2"/>
      </rPr>
      <t xml:space="preserve"> AED/ m</t>
    </r>
    <r>
      <rPr>
        <b/>
        <vertAlign val="superscript"/>
        <sz val="11"/>
        <color theme="1"/>
        <rFont val="Arial"/>
        <family val="2"/>
      </rPr>
      <t>2</t>
    </r>
    <r>
      <rPr>
        <sz val="11"/>
        <color theme="1"/>
        <rFont val="Arial"/>
        <family val="2"/>
      </rPr>
      <t>, Contractor rate to include all necessary works required   as per specifications, profession standards &amp; engineer approval.</t>
    </r>
  </si>
  <si>
    <r>
      <t xml:space="preserve">Supply &amp; Install </t>
    </r>
    <r>
      <rPr>
        <b/>
        <sz val="11"/>
        <color theme="1"/>
        <rFont val="Arial"/>
        <family val="2"/>
      </rPr>
      <t>Ceramic Flooring Tiles</t>
    </r>
    <r>
      <rPr>
        <sz val="11"/>
        <color theme="1"/>
        <rFont val="Arial"/>
        <family val="2"/>
      </rPr>
      <t xml:space="preserve"> Prime Cost for </t>
    </r>
    <r>
      <rPr>
        <b/>
        <sz val="11"/>
        <color theme="1"/>
        <rFont val="Arial"/>
        <family val="2"/>
      </rPr>
      <t xml:space="preserve">Tile </t>
    </r>
    <r>
      <rPr>
        <b/>
        <i/>
        <sz val="11"/>
        <color rgb="FF0070C0"/>
        <rFont val="Arial"/>
        <family val="2"/>
      </rPr>
      <t xml:space="preserve">supply only </t>
    </r>
    <r>
      <rPr>
        <b/>
        <sz val="11"/>
        <color theme="1"/>
        <rFont val="Arial"/>
        <family val="2"/>
      </rPr>
      <t xml:space="preserve">rate of </t>
    </r>
    <r>
      <rPr>
        <b/>
        <sz val="11"/>
        <color rgb="FFFF0000"/>
        <rFont val="Arial"/>
        <family val="2"/>
      </rPr>
      <t>30</t>
    </r>
    <r>
      <rPr>
        <b/>
        <sz val="11"/>
        <color theme="1"/>
        <rFont val="Arial"/>
        <family val="2"/>
      </rPr>
      <t xml:space="preserve"> AED/ m</t>
    </r>
    <r>
      <rPr>
        <b/>
        <vertAlign val="superscript"/>
        <sz val="11"/>
        <color theme="1"/>
        <rFont val="Arial"/>
        <family val="2"/>
      </rPr>
      <t>2</t>
    </r>
    <r>
      <rPr>
        <sz val="11"/>
        <color theme="1"/>
        <rFont val="Arial"/>
        <family val="2"/>
      </rPr>
      <t>, Contractor rate to include all necessary works required   as per specifications, profession standards &amp; engineer approval.</t>
    </r>
  </si>
  <si>
    <t>F8</t>
  </si>
  <si>
    <r>
      <t xml:space="preserve">Supply &amp; Install </t>
    </r>
    <r>
      <rPr>
        <b/>
        <sz val="11"/>
        <color theme="1"/>
        <rFont val="Arial"/>
        <family val="2"/>
      </rPr>
      <t>Non-Slip Ceramic Flooring Tiles</t>
    </r>
    <r>
      <rPr>
        <sz val="11"/>
        <color theme="1"/>
        <rFont val="Arial"/>
        <family val="2"/>
      </rPr>
      <t xml:space="preserve"> Prime Cost for </t>
    </r>
    <r>
      <rPr>
        <b/>
        <sz val="11"/>
        <color theme="1"/>
        <rFont val="Arial"/>
        <family val="2"/>
      </rPr>
      <t xml:space="preserve">Tile </t>
    </r>
    <r>
      <rPr>
        <b/>
        <i/>
        <sz val="11"/>
        <color rgb="FF0070C0"/>
        <rFont val="Arial"/>
        <family val="2"/>
      </rPr>
      <t>supply only</t>
    </r>
    <r>
      <rPr>
        <b/>
        <sz val="11"/>
        <color theme="1"/>
        <rFont val="Arial"/>
        <family val="2"/>
      </rPr>
      <t xml:space="preserve"> rate of </t>
    </r>
    <r>
      <rPr>
        <b/>
        <sz val="11"/>
        <color rgb="FFFF0000"/>
        <rFont val="Arial"/>
        <family val="2"/>
      </rPr>
      <t>40</t>
    </r>
    <r>
      <rPr>
        <b/>
        <sz val="11"/>
        <color theme="1"/>
        <rFont val="Arial"/>
        <family val="2"/>
      </rPr>
      <t xml:space="preserve"> AED/ m</t>
    </r>
    <r>
      <rPr>
        <b/>
        <vertAlign val="superscript"/>
        <sz val="11"/>
        <color theme="1"/>
        <rFont val="Arial"/>
        <family val="2"/>
      </rPr>
      <t>2</t>
    </r>
    <r>
      <rPr>
        <sz val="11"/>
        <color theme="1"/>
        <rFont val="Arial"/>
        <family val="2"/>
      </rPr>
      <t>, Contractor rate to include all necessary works required   as per specifications, profession standards &amp; engineer approval.</t>
    </r>
  </si>
  <si>
    <t xml:space="preserve">
SKITRING</t>
  </si>
  <si>
    <r>
      <t>Supply &amp; Install</t>
    </r>
    <r>
      <rPr>
        <b/>
        <sz val="11"/>
        <color theme="1"/>
        <rFont val="Arial"/>
        <family val="2"/>
      </rPr>
      <t xml:space="preserve"> Epoxy Coating Skirting</t>
    </r>
    <r>
      <rPr>
        <sz val="11"/>
        <color theme="1"/>
        <rFont val="Arial"/>
        <family val="2"/>
      </rPr>
      <t xml:space="preserve"> Contractor rate to include all necessary works required   as per specifications, profession standards &amp; engineer approval.</t>
    </r>
  </si>
  <si>
    <r>
      <t xml:space="preserve">Supply &amp; Install </t>
    </r>
    <r>
      <rPr>
        <b/>
        <sz val="11"/>
        <color theme="1"/>
        <rFont val="Arial"/>
        <family val="2"/>
      </rPr>
      <t>Natural Granite Skirting</t>
    </r>
    <r>
      <rPr>
        <sz val="11"/>
        <color theme="1"/>
        <rFont val="Arial"/>
        <family val="2"/>
      </rPr>
      <t xml:space="preserve"> ( </t>
    </r>
    <r>
      <rPr>
        <b/>
        <sz val="11"/>
        <color theme="1"/>
        <rFont val="Arial"/>
        <family val="2"/>
      </rPr>
      <t xml:space="preserve">Prime Cost for </t>
    </r>
    <r>
      <rPr>
        <b/>
        <i/>
        <sz val="11"/>
        <color rgb="FF0070C0"/>
        <rFont val="Arial"/>
        <family val="2"/>
      </rPr>
      <t>supply only</t>
    </r>
    <r>
      <rPr>
        <b/>
        <sz val="11"/>
        <color rgb="FF0070C0"/>
        <rFont val="Arial"/>
        <family val="2"/>
      </rPr>
      <t xml:space="preserve"> </t>
    </r>
    <r>
      <rPr>
        <b/>
        <sz val="11"/>
        <color theme="1"/>
        <rFont val="Arial"/>
        <family val="2"/>
      </rPr>
      <t xml:space="preserve">of Skirting is </t>
    </r>
    <r>
      <rPr>
        <b/>
        <sz val="11"/>
        <color rgb="FFFF0000"/>
        <rFont val="Arial"/>
        <family val="2"/>
      </rPr>
      <t>50</t>
    </r>
    <r>
      <rPr>
        <b/>
        <sz val="11"/>
        <color theme="1"/>
        <rFont val="Arial"/>
        <family val="2"/>
      </rPr>
      <t xml:space="preserve"> AED / RM</t>
    </r>
    <r>
      <rPr>
        <sz val="11"/>
        <color theme="1"/>
        <rFont val="Arial"/>
        <family val="2"/>
      </rPr>
      <t>) Contractor rate to include all necessary works required   as per specifications, profession standards &amp; engineer approval.</t>
    </r>
  </si>
  <si>
    <r>
      <t xml:space="preserve">Supply &amp; Install </t>
    </r>
    <r>
      <rPr>
        <b/>
        <sz val="11"/>
        <color theme="1"/>
        <rFont val="Arial"/>
        <family val="2"/>
      </rPr>
      <t>Ceramic  skirting</t>
    </r>
    <r>
      <rPr>
        <sz val="11"/>
        <color theme="1"/>
        <rFont val="Arial"/>
        <family val="2"/>
      </rPr>
      <t xml:space="preserve"> ( Prime Cost for </t>
    </r>
    <r>
      <rPr>
        <b/>
        <i/>
        <sz val="11"/>
        <color rgb="FF0070C0"/>
        <rFont val="Arial"/>
        <family val="2"/>
      </rPr>
      <t>supply</t>
    </r>
    <r>
      <rPr>
        <b/>
        <sz val="11"/>
        <color rgb="FF0070C0"/>
        <rFont val="Arial"/>
        <family val="2"/>
      </rPr>
      <t xml:space="preserve"> </t>
    </r>
    <r>
      <rPr>
        <b/>
        <i/>
        <sz val="11"/>
        <color rgb="FF0070C0"/>
        <rFont val="Arial"/>
        <family val="2"/>
      </rPr>
      <t>only</t>
    </r>
    <r>
      <rPr>
        <sz val="11"/>
        <color theme="1"/>
        <rFont val="Arial"/>
        <family val="2"/>
      </rPr>
      <t xml:space="preserve"> of Skirting is </t>
    </r>
    <r>
      <rPr>
        <b/>
        <sz val="11"/>
        <color rgb="FFFF0000"/>
        <rFont val="Arial"/>
        <family val="2"/>
      </rPr>
      <t>20</t>
    </r>
    <r>
      <rPr>
        <b/>
        <sz val="11"/>
        <color theme="1"/>
        <rFont val="Arial"/>
        <family val="2"/>
      </rPr>
      <t xml:space="preserve"> AED / RM</t>
    </r>
    <r>
      <rPr>
        <sz val="11"/>
        <color theme="1"/>
        <rFont val="Arial"/>
        <family val="2"/>
      </rPr>
      <t>) Contractor rate to include all necessary works required   as per specifications, profession standards &amp; engineer approval.</t>
    </r>
  </si>
  <si>
    <r>
      <t xml:space="preserve">Supply &amp; Install </t>
    </r>
    <r>
      <rPr>
        <b/>
        <sz val="11"/>
        <color theme="1"/>
        <rFont val="Arial"/>
        <family val="2"/>
      </rPr>
      <t>Porcelain  skirting</t>
    </r>
    <r>
      <rPr>
        <sz val="11"/>
        <color theme="1"/>
        <rFont val="Arial"/>
        <family val="2"/>
      </rPr>
      <t xml:space="preserve"> ( Prime Cost for </t>
    </r>
    <r>
      <rPr>
        <b/>
        <i/>
        <sz val="11"/>
        <color rgb="FF0070C0"/>
        <rFont val="Arial"/>
        <family val="2"/>
      </rPr>
      <t>supply only</t>
    </r>
    <r>
      <rPr>
        <sz val="11"/>
        <color theme="1"/>
        <rFont val="Arial"/>
        <family val="2"/>
      </rPr>
      <t xml:space="preserve"> of Skirting is </t>
    </r>
    <r>
      <rPr>
        <b/>
        <sz val="11"/>
        <color rgb="FFFF0000"/>
        <rFont val="Arial"/>
        <family val="2"/>
      </rPr>
      <t>15</t>
    </r>
    <r>
      <rPr>
        <b/>
        <sz val="11"/>
        <color theme="1"/>
        <rFont val="Arial"/>
        <family val="2"/>
      </rPr>
      <t xml:space="preserve"> AED / RM</t>
    </r>
    <r>
      <rPr>
        <sz val="11"/>
        <color theme="1"/>
        <rFont val="Arial"/>
        <family val="2"/>
      </rPr>
      <t>) Contractor rate to include all necessary works required   as per specifications, profession standards &amp; engineer approval.</t>
    </r>
  </si>
  <si>
    <t xml:space="preserve">
WALL FINISHES</t>
  </si>
  <si>
    <r>
      <t xml:space="preserve">Supply &amp; Install </t>
    </r>
    <r>
      <rPr>
        <b/>
        <sz val="11"/>
        <color theme="1"/>
        <rFont val="Arial"/>
        <family val="2"/>
      </rPr>
      <t xml:space="preserve"> </t>
    </r>
    <r>
      <rPr>
        <b/>
        <sz val="11"/>
        <color rgb="FFFF0000"/>
        <rFont val="Arial"/>
        <family val="2"/>
      </rPr>
      <t>Type 1 -</t>
    </r>
    <r>
      <rPr>
        <b/>
        <sz val="11"/>
        <color theme="1"/>
        <rFont val="Arial"/>
        <family val="2"/>
      </rPr>
      <t xml:space="preserve"> Porcelain Tiles Cladding </t>
    </r>
    <r>
      <rPr>
        <sz val="11"/>
        <color theme="1"/>
        <rFont val="Arial"/>
        <family val="2"/>
      </rPr>
      <t xml:space="preserve"> ( Prime Cost for Tiles </t>
    </r>
    <r>
      <rPr>
        <b/>
        <i/>
        <sz val="11"/>
        <color rgb="FF0070C0"/>
        <rFont val="Arial"/>
        <family val="2"/>
      </rPr>
      <t>supply only</t>
    </r>
    <r>
      <rPr>
        <b/>
        <sz val="11"/>
        <color theme="1"/>
        <rFont val="Arial"/>
        <family val="2"/>
      </rPr>
      <t xml:space="preserve"> rate of </t>
    </r>
    <r>
      <rPr>
        <b/>
        <sz val="11"/>
        <color rgb="FFFF0000"/>
        <rFont val="Arial"/>
        <family val="2"/>
      </rPr>
      <t>70</t>
    </r>
    <r>
      <rPr>
        <b/>
        <sz val="11"/>
        <color theme="1"/>
        <rFont val="Arial"/>
        <family val="2"/>
      </rPr>
      <t xml:space="preserve"> AED/m</t>
    </r>
    <r>
      <rPr>
        <b/>
        <vertAlign val="superscript"/>
        <sz val="11"/>
        <color theme="1"/>
        <rFont val="Arial"/>
        <family val="2"/>
      </rPr>
      <t>2</t>
    </r>
    <r>
      <rPr>
        <sz val="11"/>
        <color theme="1"/>
        <rFont val="Arial"/>
        <family val="2"/>
      </rPr>
      <t>), Contractor rate to include all necessary works required   as per specifications, profession standards &amp; engineer approval.</t>
    </r>
  </si>
  <si>
    <r>
      <t xml:space="preserve">Supply &amp; Install </t>
    </r>
    <r>
      <rPr>
        <b/>
        <sz val="11"/>
        <color theme="1"/>
        <rFont val="Arial"/>
        <family val="2"/>
      </rPr>
      <t xml:space="preserve"> Glazed Ceramic Wall Tiles </t>
    </r>
    <r>
      <rPr>
        <sz val="11"/>
        <color theme="1"/>
        <rFont val="Arial"/>
        <family val="2"/>
      </rPr>
      <t xml:space="preserve"> ( Prime Cost for Tiles </t>
    </r>
    <r>
      <rPr>
        <b/>
        <i/>
        <sz val="11"/>
        <color rgb="FF0070C0"/>
        <rFont val="Arial"/>
        <family val="2"/>
      </rPr>
      <t>supply only</t>
    </r>
    <r>
      <rPr>
        <b/>
        <sz val="11"/>
        <color theme="1"/>
        <rFont val="Arial"/>
        <family val="2"/>
      </rPr>
      <t xml:space="preserve"> rate of </t>
    </r>
    <r>
      <rPr>
        <b/>
        <sz val="11"/>
        <color rgb="FFFF0000"/>
        <rFont val="Arial"/>
        <family val="2"/>
      </rPr>
      <t>40</t>
    </r>
    <r>
      <rPr>
        <b/>
        <sz val="11"/>
        <color theme="1"/>
        <rFont val="Arial"/>
        <family val="2"/>
      </rPr>
      <t xml:space="preserve"> AED/m</t>
    </r>
    <r>
      <rPr>
        <b/>
        <vertAlign val="superscript"/>
        <sz val="11"/>
        <color theme="1"/>
        <rFont val="Arial"/>
        <family val="2"/>
      </rPr>
      <t>2</t>
    </r>
    <r>
      <rPr>
        <sz val="11"/>
        <color theme="1"/>
        <rFont val="Arial"/>
        <family val="2"/>
      </rPr>
      <t>), Contractor rate to include all necessary works required   as per specifications, profession standards &amp; engineer approval.</t>
    </r>
  </si>
  <si>
    <r>
      <t xml:space="preserve">Supply &amp; Apply  </t>
    </r>
    <r>
      <rPr>
        <b/>
        <sz val="11"/>
        <color theme="1"/>
        <rFont val="Arial"/>
        <family val="2"/>
      </rPr>
      <t>Washable Emulsion Wall Paint</t>
    </r>
    <r>
      <rPr>
        <sz val="11"/>
        <color theme="1"/>
        <rFont val="Arial"/>
        <family val="2"/>
      </rPr>
      <t xml:space="preserve"> as specified , Contractor rate to include all necessary works required   as per specifications, profession standards &amp; engineer approval.</t>
    </r>
  </si>
  <si>
    <r>
      <t xml:space="preserve">Supply &amp; Apply  </t>
    </r>
    <r>
      <rPr>
        <b/>
        <sz val="11"/>
        <color theme="1"/>
        <rFont val="Arial"/>
        <family val="2"/>
      </rPr>
      <t xml:space="preserve">Anti- Carbonation Paint System  </t>
    </r>
    <r>
      <rPr>
        <sz val="11"/>
        <color theme="1"/>
        <rFont val="Arial"/>
        <family val="2"/>
      </rPr>
      <t>, as per Specifications  ,  Contractor rate to include all necessary works required   as per specifications, profession standards &amp; engineer approval.</t>
    </r>
  </si>
  <si>
    <r>
      <t xml:space="preserve">Supply &amp; Apply  </t>
    </r>
    <r>
      <rPr>
        <b/>
        <sz val="11"/>
        <color theme="1"/>
        <rFont val="Arial"/>
        <family val="2"/>
      </rPr>
      <t xml:space="preserve">Semi-epoxy Paint System </t>
    </r>
    <r>
      <rPr>
        <sz val="11"/>
        <color theme="1"/>
        <rFont val="Arial"/>
        <family val="2"/>
      </rPr>
      <t>, as per Specifications  ,  Contractor rate to include all necessary works required   as per specifications, profession standards &amp; engineer approval.</t>
    </r>
  </si>
  <si>
    <t>W8</t>
  </si>
  <si>
    <r>
      <t xml:space="preserve">Supply &amp; Apply  </t>
    </r>
    <r>
      <rPr>
        <b/>
        <sz val="11"/>
        <color theme="1"/>
        <rFont val="Arial"/>
        <family val="2"/>
      </rPr>
      <t>Jotasheild External Paint</t>
    </r>
    <r>
      <rPr>
        <sz val="11"/>
        <color theme="1"/>
        <rFont val="Arial"/>
        <family val="2"/>
      </rPr>
      <t>, as per Specifications  ,  Contractor rate to include all necessary works required   as per specifications, profession standards &amp; engineer approval.</t>
    </r>
  </si>
  <si>
    <t xml:space="preserve">
CEILING FINISH</t>
  </si>
  <si>
    <t>C3</t>
  </si>
  <si>
    <t>C4</t>
  </si>
  <si>
    <t xml:space="preserve">
FALSE CEILING</t>
  </si>
  <si>
    <t>FC1-a</t>
  </si>
  <si>
    <t>Ditto, Bulk Head</t>
  </si>
  <si>
    <t>FC1-b</t>
  </si>
  <si>
    <t>Ditto, Cove Lights</t>
  </si>
  <si>
    <r>
      <t xml:space="preserve">Supply &amp; Install </t>
    </r>
    <r>
      <rPr>
        <b/>
        <sz val="11"/>
        <color theme="1"/>
        <rFont val="Arial"/>
        <family val="2"/>
      </rPr>
      <t xml:space="preserve">60*60 cm Vinyl Coated  Gypsum Tiles False Ceiling, </t>
    </r>
    <r>
      <rPr>
        <sz val="11"/>
        <color theme="1"/>
        <rFont val="Arial"/>
        <family val="2"/>
      </rPr>
      <t xml:space="preserve"> including painting, Contractor rate to include all necessary works required   as per specifications, profession standards &amp; engineer approval.</t>
    </r>
  </si>
  <si>
    <r>
      <t xml:space="preserve">Supply &amp; Install </t>
    </r>
    <r>
      <rPr>
        <b/>
        <sz val="11"/>
        <color theme="1"/>
        <rFont val="Arial"/>
        <family val="2"/>
      </rPr>
      <t xml:space="preserve">Calcium Silicate Boards 2 Hr. Fire Resistant &amp;  Moisture Resistance False Ceiling, </t>
    </r>
    <r>
      <rPr>
        <sz val="11"/>
        <color theme="1"/>
        <rFont val="Arial"/>
        <family val="2"/>
      </rPr>
      <t xml:space="preserve"> including painting, Contractor rate to include all necessary works required   as per specifications, profession standards &amp; engineer approval.</t>
    </r>
  </si>
  <si>
    <t xml:space="preserve">
STEPS, TREAD &amp; RISERS</t>
  </si>
  <si>
    <r>
      <rPr>
        <b/>
        <sz val="11"/>
        <color theme="1"/>
        <rFont val="Arial"/>
        <family val="2"/>
      </rPr>
      <t xml:space="preserve">Natural Granite Steps For </t>
    </r>
    <r>
      <rPr>
        <b/>
        <i/>
        <sz val="11"/>
        <color rgb="FF0070C0"/>
        <rFont val="Arial"/>
        <family val="2"/>
      </rPr>
      <t>Type 1</t>
    </r>
    <r>
      <rPr>
        <b/>
        <sz val="11"/>
        <color theme="1"/>
        <rFont val="Arial"/>
        <family val="2"/>
      </rPr>
      <t xml:space="preserve"> Granite Flooring </t>
    </r>
    <r>
      <rPr>
        <sz val="11"/>
        <color theme="1"/>
        <rFont val="Arial"/>
        <family val="2"/>
      </rPr>
      <t xml:space="preserve"> for  Areas as per Arch Drawings (Step PC </t>
    </r>
    <r>
      <rPr>
        <b/>
        <i/>
        <sz val="11"/>
        <color rgb="FF0070C0"/>
        <rFont val="Arial"/>
        <family val="2"/>
      </rPr>
      <t>supply only</t>
    </r>
    <r>
      <rPr>
        <sz val="11"/>
        <color theme="1"/>
        <rFont val="Arial"/>
        <family val="2"/>
      </rPr>
      <t xml:space="preserve"> Rate: </t>
    </r>
    <r>
      <rPr>
        <b/>
        <sz val="11"/>
        <color rgb="FFFF0000"/>
        <rFont val="Arial"/>
        <family val="2"/>
      </rPr>
      <t>300</t>
    </r>
    <r>
      <rPr>
        <sz val="11"/>
        <color theme="1"/>
        <rFont val="Arial"/>
        <family val="2"/>
      </rPr>
      <t xml:space="preserve"> Dhs /RM)</t>
    </r>
  </si>
  <si>
    <r>
      <rPr>
        <b/>
        <sz val="11"/>
        <color theme="1"/>
        <rFont val="Arial"/>
        <family val="2"/>
      </rPr>
      <t xml:space="preserve">Natural Granite Steps For </t>
    </r>
    <r>
      <rPr>
        <b/>
        <i/>
        <sz val="11"/>
        <color rgb="FF0070C0"/>
        <rFont val="Arial"/>
        <family val="2"/>
      </rPr>
      <t>Type 2</t>
    </r>
    <r>
      <rPr>
        <b/>
        <sz val="11"/>
        <color theme="1"/>
        <rFont val="Arial"/>
        <family val="2"/>
      </rPr>
      <t xml:space="preserve"> Granite Flooring </t>
    </r>
    <r>
      <rPr>
        <sz val="11"/>
        <color theme="1"/>
        <rFont val="Arial"/>
        <family val="2"/>
      </rPr>
      <t xml:space="preserve"> for  Areas as per Arch Drawings (Step PC </t>
    </r>
    <r>
      <rPr>
        <b/>
        <i/>
        <sz val="11"/>
        <color rgb="FF0070C0"/>
        <rFont val="Arial"/>
        <family val="2"/>
      </rPr>
      <t>supply only</t>
    </r>
    <r>
      <rPr>
        <sz val="11"/>
        <color theme="1"/>
        <rFont val="Arial"/>
        <family val="2"/>
      </rPr>
      <t xml:space="preserve"> Rate: </t>
    </r>
    <r>
      <rPr>
        <b/>
        <sz val="11"/>
        <color rgb="FFFF0000"/>
        <rFont val="Arial"/>
        <family val="2"/>
      </rPr>
      <t>150</t>
    </r>
    <r>
      <rPr>
        <sz val="11"/>
        <color theme="1"/>
        <rFont val="Arial"/>
        <family val="2"/>
      </rPr>
      <t xml:space="preserve"> Dhs /RM)</t>
    </r>
  </si>
  <si>
    <t xml:space="preserve">
MARBLE THRESHOLDS:</t>
  </si>
  <si>
    <r>
      <t xml:space="preserve">Supply &amp; Install  </t>
    </r>
    <r>
      <rPr>
        <b/>
        <sz val="11"/>
        <color theme="1"/>
        <rFont val="Arial"/>
        <family val="2"/>
      </rPr>
      <t xml:space="preserve">Marble Door Threshold ( Prime Cost for </t>
    </r>
    <r>
      <rPr>
        <b/>
        <i/>
        <sz val="11"/>
        <color rgb="FF0070C0"/>
        <rFont val="Arial"/>
        <family val="2"/>
      </rPr>
      <t>supply only</t>
    </r>
    <r>
      <rPr>
        <sz val="11"/>
        <color theme="1"/>
        <rFont val="Arial"/>
        <family val="2"/>
      </rPr>
      <t xml:space="preserve"> </t>
    </r>
    <r>
      <rPr>
        <b/>
        <sz val="11"/>
        <color theme="1"/>
        <rFont val="Arial"/>
        <family val="2"/>
      </rPr>
      <t xml:space="preserve">of Threshold is </t>
    </r>
    <r>
      <rPr>
        <b/>
        <sz val="11"/>
        <color rgb="FFFF0000"/>
        <rFont val="Arial"/>
        <family val="2"/>
      </rPr>
      <t>100</t>
    </r>
    <r>
      <rPr>
        <b/>
        <sz val="11"/>
        <color theme="1"/>
        <rFont val="Arial"/>
        <family val="2"/>
      </rPr>
      <t xml:space="preserve"> AED / RM) For All Kitchens, Bathrooms, flat entrance,</t>
    </r>
    <r>
      <rPr>
        <sz val="11"/>
        <color theme="1"/>
        <rFont val="Arial"/>
        <family val="2"/>
      </rPr>
      <t xml:space="preserve"> Etc. Contractor rate to include all necessary works required   as per specifications, profession standards &amp; engineer approval.</t>
    </r>
  </si>
  <si>
    <r>
      <t xml:space="preserve">Supply &amp; Install  </t>
    </r>
    <r>
      <rPr>
        <b/>
        <sz val="11"/>
        <color theme="1"/>
        <rFont val="Arial"/>
        <family val="2"/>
      </rPr>
      <t xml:space="preserve">Balconies Threshold ( Prime Cost for </t>
    </r>
    <r>
      <rPr>
        <b/>
        <i/>
        <sz val="11"/>
        <color rgb="FF0070C0"/>
        <rFont val="Arial"/>
        <family val="2"/>
      </rPr>
      <t>supply only</t>
    </r>
    <r>
      <rPr>
        <b/>
        <sz val="11"/>
        <color theme="1"/>
        <rFont val="Arial"/>
        <family val="2"/>
      </rPr>
      <t xml:space="preserve"> of Threshold is </t>
    </r>
    <r>
      <rPr>
        <b/>
        <sz val="11"/>
        <color rgb="FFFF0000"/>
        <rFont val="Arial"/>
        <family val="2"/>
      </rPr>
      <t>100</t>
    </r>
    <r>
      <rPr>
        <b/>
        <sz val="11"/>
        <color theme="1"/>
        <rFont val="Arial"/>
        <family val="2"/>
      </rPr>
      <t xml:space="preserve"> AED / RM) ,</t>
    </r>
    <r>
      <rPr>
        <sz val="11"/>
        <color theme="1"/>
        <rFont val="Arial"/>
        <family val="2"/>
      </rPr>
      <t xml:space="preserve"> Etc. Contractor rate to include all necessary works required   as per specifications, profession standards &amp; engineer approval.</t>
    </r>
  </si>
  <si>
    <r>
      <t xml:space="preserve">Supply &amp; Install </t>
    </r>
    <r>
      <rPr>
        <b/>
        <sz val="11"/>
        <color theme="1"/>
        <rFont val="Arial"/>
        <family val="2"/>
      </rPr>
      <t xml:space="preserve">Shower enclosures Threshold ( Prime Cost for </t>
    </r>
    <r>
      <rPr>
        <b/>
        <i/>
        <sz val="11"/>
        <color rgb="FF0070C0"/>
        <rFont val="Arial"/>
        <family val="2"/>
      </rPr>
      <t>supply only</t>
    </r>
    <r>
      <rPr>
        <b/>
        <sz val="11"/>
        <color theme="1"/>
        <rFont val="Arial"/>
        <family val="2"/>
      </rPr>
      <t xml:space="preserve"> of Threshold is </t>
    </r>
    <r>
      <rPr>
        <b/>
        <sz val="11"/>
        <color rgb="FFFF0000"/>
        <rFont val="Arial"/>
        <family val="2"/>
      </rPr>
      <t>100</t>
    </r>
    <r>
      <rPr>
        <b/>
        <sz val="11"/>
        <color theme="1"/>
        <rFont val="Arial"/>
        <family val="2"/>
      </rPr>
      <t xml:space="preserve"> AED / RM)  ,</t>
    </r>
    <r>
      <rPr>
        <sz val="11"/>
        <color theme="1"/>
        <rFont val="Arial"/>
        <family val="2"/>
      </rPr>
      <t xml:space="preserve"> Etc. Contractor rate to include all necessary works required   as per specifications, profession standards &amp; engineer approval.</t>
    </r>
  </si>
  <si>
    <r>
      <t xml:space="preserve">Supply &amp; Install  </t>
    </r>
    <r>
      <rPr>
        <b/>
        <sz val="11"/>
        <color theme="1"/>
        <rFont val="Arial"/>
        <family val="2"/>
      </rPr>
      <t xml:space="preserve">Marble Capping ( Prime Cost for </t>
    </r>
    <r>
      <rPr>
        <b/>
        <i/>
        <sz val="11"/>
        <color rgb="FF0070C0"/>
        <rFont val="Arial"/>
        <family val="2"/>
      </rPr>
      <t>supply only</t>
    </r>
    <r>
      <rPr>
        <b/>
        <sz val="11"/>
        <color theme="1"/>
        <rFont val="Arial"/>
        <family val="2"/>
      </rPr>
      <t xml:space="preserve"> of Capping is </t>
    </r>
    <r>
      <rPr>
        <b/>
        <sz val="11"/>
        <color rgb="FFFF0000"/>
        <rFont val="Arial"/>
        <family val="2"/>
      </rPr>
      <t>100</t>
    </r>
    <r>
      <rPr>
        <b/>
        <sz val="11"/>
        <color theme="1"/>
        <rFont val="Arial"/>
        <family val="2"/>
      </rPr>
      <t xml:space="preserve"> AED / RM) For All upstands behind Curtain walls</t>
    </r>
    <r>
      <rPr>
        <sz val="11"/>
        <color theme="1"/>
        <rFont val="Arial"/>
        <family val="2"/>
      </rPr>
      <t>. Contractor rate to include all necessary works required   as per specifications, profession standards &amp; engineer approval.</t>
    </r>
  </si>
  <si>
    <r>
      <t xml:space="preserve">Supply &amp; Install  </t>
    </r>
    <r>
      <rPr>
        <b/>
        <sz val="11"/>
        <color theme="1"/>
        <rFont val="Arial"/>
        <family val="2"/>
      </rPr>
      <t xml:space="preserve">Marble Capping ( Prime Cost for </t>
    </r>
    <r>
      <rPr>
        <b/>
        <i/>
        <sz val="11"/>
        <color rgb="FF0070C0"/>
        <rFont val="Arial"/>
        <family val="2"/>
      </rPr>
      <t>supply only</t>
    </r>
    <r>
      <rPr>
        <b/>
        <sz val="11"/>
        <color theme="1"/>
        <rFont val="Arial"/>
        <family val="2"/>
      </rPr>
      <t xml:space="preserve"> of Marble is </t>
    </r>
    <r>
      <rPr>
        <b/>
        <sz val="11"/>
        <color rgb="FFFF0000"/>
        <rFont val="Arial"/>
        <family val="2"/>
      </rPr>
      <t>100</t>
    </r>
    <r>
      <rPr>
        <b/>
        <sz val="11"/>
        <color theme="1"/>
        <rFont val="Arial"/>
        <family val="2"/>
      </rPr>
      <t xml:space="preserve"> AED / RM) Over WC Flushing Tank</t>
    </r>
    <r>
      <rPr>
        <sz val="11"/>
        <color theme="1"/>
        <rFont val="Arial"/>
        <family val="2"/>
      </rPr>
      <t>. Contractor rate to include all necessary works required   as per specifications, profession standards &amp; engineer approval.</t>
    </r>
  </si>
  <si>
    <r>
      <t xml:space="preserve">Supply &amp; Install  </t>
    </r>
    <r>
      <rPr>
        <b/>
        <sz val="11"/>
        <color theme="1"/>
        <rFont val="Arial"/>
        <family val="2"/>
      </rPr>
      <t xml:space="preserve">Marble Capping ( Prime Cost for </t>
    </r>
    <r>
      <rPr>
        <b/>
        <i/>
        <sz val="11"/>
        <color rgb="FF0070C0"/>
        <rFont val="Arial"/>
        <family val="2"/>
      </rPr>
      <t xml:space="preserve">supply only </t>
    </r>
    <r>
      <rPr>
        <b/>
        <sz val="11"/>
        <color theme="1"/>
        <rFont val="Arial"/>
        <family val="2"/>
      </rPr>
      <t xml:space="preserve">of Marble is </t>
    </r>
    <r>
      <rPr>
        <b/>
        <sz val="11"/>
        <color rgb="FFFF0000"/>
        <rFont val="Arial"/>
        <family val="2"/>
      </rPr>
      <t>100</t>
    </r>
    <r>
      <rPr>
        <b/>
        <sz val="11"/>
        <color theme="1"/>
        <rFont val="Arial"/>
        <family val="2"/>
      </rPr>
      <t xml:space="preserve"> AED / RM) For Upstands around green Areas Planter Boxes</t>
    </r>
    <r>
      <rPr>
        <sz val="11"/>
        <color theme="1"/>
        <rFont val="Arial"/>
        <family val="2"/>
      </rPr>
      <t>. Contractor rate to include all necessary works required   as per specifications, profession standards &amp; engineer approval.</t>
    </r>
  </si>
  <si>
    <t xml:space="preserve">
VANITY COUNTERS</t>
  </si>
  <si>
    <r>
      <t>Supply &amp; Install</t>
    </r>
    <r>
      <rPr>
        <b/>
        <sz val="11"/>
        <color theme="1"/>
        <rFont val="Arial"/>
        <family val="2"/>
      </rPr>
      <t xml:space="preserve"> Vanity Counter </t>
    </r>
    <r>
      <rPr>
        <sz val="11"/>
        <color theme="1"/>
        <rFont val="Arial"/>
        <family val="2"/>
      </rPr>
      <t xml:space="preserve">( Prime Cost for </t>
    </r>
    <r>
      <rPr>
        <b/>
        <i/>
        <sz val="11"/>
        <color rgb="FF0070C0"/>
        <rFont val="Arial"/>
        <family val="2"/>
      </rPr>
      <t>supply only</t>
    </r>
    <r>
      <rPr>
        <sz val="11"/>
        <color theme="1"/>
        <rFont val="Arial"/>
        <family val="2"/>
      </rPr>
      <t xml:space="preserve"> of Counter including facia &amp; back splash is </t>
    </r>
    <r>
      <rPr>
        <b/>
        <sz val="11"/>
        <color rgb="FFFF0000"/>
        <rFont val="Arial"/>
        <family val="2"/>
      </rPr>
      <t>700</t>
    </r>
    <r>
      <rPr>
        <b/>
        <sz val="11"/>
        <color theme="1"/>
        <rFont val="Arial"/>
        <family val="2"/>
      </rPr>
      <t xml:space="preserve"> AED / RM</t>
    </r>
    <r>
      <rPr>
        <sz val="11"/>
        <color theme="1"/>
        <rFont val="Arial"/>
        <family val="2"/>
      </rPr>
      <t>) Contractor rate to include all necessary works required   as per specifications, profession standards &amp; engineer approval.</t>
    </r>
  </si>
  <si>
    <t xml:space="preserve">
DECORATIVE EXTERNAL FINISHING</t>
  </si>
  <si>
    <r>
      <t xml:space="preserve">Supply &amp; Install </t>
    </r>
    <r>
      <rPr>
        <b/>
        <sz val="11"/>
        <color theme="1"/>
        <rFont val="Arial"/>
        <family val="2"/>
      </rPr>
      <t xml:space="preserve"> Natural Marble Wall Cladding ( Prime Cost for Marble </t>
    </r>
    <r>
      <rPr>
        <b/>
        <i/>
        <sz val="11"/>
        <color rgb="FF0070C0"/>
        <rFont val="Arial"/>
        <family val="2"/>
      </rPr>
      <t>supply only</t>
    </r>
    <r>
      <rPr>
        <b/>
        <sz val="11"/>
        <color theme="1"/>
        <rFont val="Arial"/>
        <family val="2"/>
      </rPr>
      <t xml:space="preserve"> rate of </t>
    </r>
    <r>
      <rPr>
        <b/>
        <sz val="11"/>
        <color rgb="FFFF0000"/>
        <rFont val="Arial"/>
        <family val="2"/>
      </rPr>
      <t>500</t>
    </r>
    <r>
      <rPr>
        <b/>
        <sz val="11"/>
        <color theme="1"/>
        <rFont val="Arial"/>
        <family val="2"/>
      </rPr>
      <t xml:space="preserve"> AED/m²),</t>
    </r>
    <r>
      <rPr>
        <sz val="11"/>
        <color theme="1"/>
        <rFont val="Arial"/>
        <family val="2"/>
      </rPr>
      <t xml:space="preserve"> Contractor rate to include all necessary works required   as per specifications, profession standards &amp; engineer approval.</t>
    </r>
  </si>
  <si>
    <r>
      <t xml:space="preserve">Supply &amp; Install </t>
    </r>
    <r>
      <rPr>
        <b/>
        <sz val="11"/>
        <color theme="1"/>
        <rFont val="Arial"/>
        <family val="2"/>
      </rPr>
      <t xml:space="preserve"> Natural Granite Wall Cladding ( Prime Cost for Marble </t>
    </r>
    <r>
      <rPr>
        <b/>
        <i/>
        <sz val="11"/>
        <color rgb="FF0070C0"/>
        <rFont val="Arial"/>
        <family val="2"/>
      </rPr>
      <t xml:space="preserve">supply only </t>
    </r>
    <r>
      <rPr>
        <b/>
        <sz val="11"/>
        <color theme="1"/>
        <rFont val="Arial"/>
        <family val="2"/>
      </rPr>
      <t xml:space="preserve">rate of </t>
    </r>
    <r>
      <rPr>
        <b/>
        <sz val="11"/>
        <color rgb="FFFF0000"/>
        <rFont val="Arial"/>
        <family val="2"/>
      </rPr>
      <t>300</t>
    </r>
    <r>
      <rPr>
        <b/>
        <sz val="11"/>
        <color theme="1"/>
        <rFont val="Arial"/>
        <family val="2"/>
      </rPr>
      <t xml:space="preserve"> AED/m²),</t>
    </r>
    <r>
      <rPr>
        <sz val="11"/>
        <color theme="1"/>
        <rFont val="Arial"/>
        <family val="2"/>
      </rPr>
      <t xml:space="preserve"> Contractor rate to include all necessary works required   as per specifications, profession standards &amp; engineer approval.</t>
    </r>
  </si>
  <si>
    <r>
      <t xml:space="preserve">Shower enclosure </t>
    </r>
    <r>
      <rPr>
        <b/>
        <i/>
        <sz val="10"/>
        <rFont val="Arial"/>
        <family val="2"/>
      </rPr>
      <t>Full Shower Length including sliding doors</t>
    </r>
    <r>
      <rPr>
        <sz val="10"/>
        <rFont val="Arial"/>
        <family val="2"/>
      </rPr>
      <t xml:space="preserve"> ( PC Supply only rate: AED </t>
    </r>
    <r>
      <rPr>
        <b/>
        <sz val="10"/>
        <rFont val="Arial"/>
        <family val="2"/>
      </rPr>
      <t>1000 /m</t>
    </r>
    <r>
      <rPr>
        <sz val="10"/>
        <rFont val="Arial"/>
        <family val="2"/>
      </rPr>
      <t xml:space="preserve">) </t>
    </r>
  </si>
  <si>
    <r>
      <t xml:space="preserve">Include a provisional sum of </t>
    </r>
    <r>
      <rPr>
        <b/>
        <sz val="10"/>
        <color theme="1"/>
        <rFont val="Arial"/>
        <family val="2"/>
      </rPr>
      <t>AED 1,050,000</t>
    </r>
    <r>
      <rPr>
        <sz val="10"/>
        <color theme="1"/>
        <rFont val="Arial"/>
        <family val="2"/>
      </rPr>
      <t xml:space="preserve"> For the supply of and Installation of </t>
    </r>
    <r>
      <rPr>
        <b/>
        <sz val="10"/>
        <color theme="1"/>
        <rFont val="Arial"/>
        <family val="2"/>
      </rPr>
      <t>Elevators .</t>
    </r>
  </si>
  <si>
    <r>
      <t xml:space="preserve">Include a provisional sum of </t>
    </r>
    <r>
      <rPr>
        <b/>
        <sz val="10"/>
        <color theme="1"/>
        <rFont val="Arial"/>
        <family val="2"/>
      </rPr>
      <t>AED 300,000</t>
    </r>
    <r>
      <rPr>
        <sz val="10"/>
        <color theme="1"/>
        <rFont val="Arial"/>
        <family val="2"/>
      </rPr>
      <t xml:space="preserve"> for the supply of External and Internal </t>
    </r>
    <r>
      <rPr>
        <b/>
        <sz val="10"/>
        <color theme="1"/>
        <rFont val="Arial"/>
        <family val="2"/>
      </rPr>
      <t>Lighting Fixtures</t>
    </r>
  </si>
  <si>
    <r>
      <t xml:space="preserve">Include a provisional sum of </t>
    </r>
    <r>
      <rPr>
        <b/>
        <sz val="10"/>
        <color theme="1"/>
        <rFont val="Arial"/>
        <family val="2"/>
      </rPr>
      <t>AED 30,000</t>
    </r>
    <r>
      <rPr>
        <sz val="10"/>
        <color theme="1"/>
        <rFont val="Arial"/>
        <family val="2"/>
      </rPr>
      <t xml:space="preserve"> for the supply &amp; Install of the following:
</t>
    </r>
    <r>
      <rPr>
        <b/>
        <sz val="10"/>
        <color theme="1"/>
        <rFont val="Arial"/>
        <family val="2"/>
      </rPr>
      <t>Building External Signage</t>
    </r>
  </si>
  <si>
    <t>Excavation</t>
  </si>
  <si>
    <t>VOLUME IV</t>
  </si>
  <si>
    <t>BOQ</t>
  </si>
  <si>
    <t>Dewatering Works</t>
  </si>
  <si>
    <r>
      <t xml:space="preserve">Staircase Pressurization fans :
</t>
    </r>
    <r>
      <rPr>
        <sz val="11"/>
        <rFont val="Arial"/>
        <family val="2"/>
      </rPr>
      <t>Supply and installation of Pressurization Air Fan (As Per Civil Defense Regulation).</t>
    </r>
  </si>
  <si>
    <r>
      <t xml:space="preserve">Lift Pressurization fans :
</t>
    </r>
    <r>
      <rPr>
        <sz val="11"/>
        <rFont val="Arial"/>
        <family val="2"/>
      </rPr>
      <t>Supply and installation of Pressurization Air Fan (As Per Civil Defense Regulation).</t>
    </r>
  </si>
  <si>
    <t>Cradel</t>
  </si>
  <si>
    <r>
      <t xml:space="preserve">GENERATOR
</t>
    </r>
    <r>
      <rPr>
        <b/>
        <sz val="11"/>
        <color theme="1"/>
        <rFont val="Arial"/>
        <family val="2"/>
      </rPr>
      <t xml:space="preserve">Supply and install Generator as per approved capacity mentioned on approved SEWA drawing including ATS, Exhaust and all related accessories </t>
    </r>
    <r>
      <rPr>
        <b/>
        <u/>
        <sz val="11"/>
        <color theme="1"/>
        <rFont val="Arial"/>
        <family val="2"/>
      </rPr>
      <t xml:space="preserve">
</t>
    </r>
  </si>
  <si>
    <t>Sink with Mixer &amp; Hood AED 600 AED / set</t>
  </si>
  <si>
    <r>
      <t xml:space="preserve">Supply &amp; fix Galvanized Steel Powder Coated </t>
    </r>
    <r>
      <rPr>
        <b/>
        <sz val="11"/>
        <color theme="1"/>
        <rFont val="Arial"/>
        <family val="2"/>
      </rPr>
      <t>OTS Services Platforms</t>
    </r>
    <r>
      <rPr>
        <sz val="11"/>
        <color theme="1"/>
        <rFont val="Arial"/>
        <family val="2"/>
      </rPr>
      <t>, with all necessary Structural Support as per Specifications &amp; arch drawings, design is upon shop drawings approval &amp; client approval.</t>
    </r>
  </si>
  <si>
    <r>
      <t xml:space="preserve">Supply &amp; Install </t>
    </r>
    <r>
      <rPr>
        <b/>
        <sz val="11"/>
        <color theme="1"/>
        <rFont val="Arial"/>
        <family val="2"/>
      </rPr>
      <t>GRP Ladder</t>
    </r>
    <r>
      <rPr>
        <sz val="11"/>
        <color theme="1"/>
        <rFont val="Arial"/>
        <family val="2"/>
      </rPr>
      <t xml:space="preserve">  for the Under Ground water Tank:  as per Specifications, Arch Drawings, &amp; Engineer Approval  </t>
    </r>
  </si>
  <si>
    <r>
      <t xml:space="preserve">Supply &amp; Install Powder Coated </t>
    </r>
    <r>
      <rPr>
        <b/>
        <sz val="11"/>
        <color theme="1"/>
        <rFont val="Arial"/>
        <family val="2"/>
      </rPr>
      <t>Aluminum Covers for</t>
    </r>
    <r>
      <rPr>
        <sz val="11"/>
        <color theme="1"/>
        <rFont val="Arial"/>
        <family val="2"/>
      </rPr>
      <t xml:space="preserve"> </t>
    </r>
    <r>
      <rPr>
        <b/>
        <sz val="11"/>
        <color theme="1"/>
        <rFont val="Arial"/>
        <family val="2"/>
      </rPr>
      <t>Roof Bosoter Pumps</t>
    </r>
  </si>
  <si>
    <r>
      <t xml:space="preserve">Supply &amp; Provide </t>
    </r>
    <r>
      <rPr>
        <b/>
        <sz val="11"/>
        <color theme="1"/>
        <rFont val="Arial"/>
        <family val="2"/>
      </rPr>
      <t xml:space="preserve">Fine Tex Ceiling Spray Plaster With Emulsion Paint, </t>
    </r>
    <r>
      <rPr>
        <sz val="11"/>
        <color theme="1"/>
        <rFont val="Arial"/>
        <family val="2"/>
      </rPr>
      <t>as per Specifications Contractor rate to include all necessary works required   as per specifications, profession standards &amp; engineer approval.</t>
    </r>
  </si>
  <si>
    <r>
      <t xml:space="preserve">Supply &amp; Provide </t>
    </r>
    <r>
      <rPr>
        <b/>
        <sz val="11"/>
        <color theme="1"/>
        <rFont val="Arial"/>
        <family val="2"/>
      </rPr>
      <t xml:space="preserve"> Fine Tex Ceiling Spray Plaster With Anti-carbonation Paint, </t>
    </r>
    <r>
      <rPr>
        <sz val="11"/>
        <color theme="1"/>
        <rFont val="Arial"/>
        <family val="2"/>
      </rPr>
      <t>as per Specifications Contractor rate to include all necessary works required   as per specifications, profession standards &amp; engineer approval.</t>
    </r>
  </si>
  <si>
    <r>
      <t xml:space="preserve">Supply &amp; Apply </t>
    </r>
    <r>
      <rPr>
        <b/>
        <sz val="11"/>
        <color theme="1"/>
        <rFont val="Arial"/>
        <family val="2"/>
      </rPr>
      <t>Two Coats of Primer</t>
    </r>
    <r>
      <rPr>
        <sz val="11"/>
        <color theme="1"/>
        <rFont val="Arial"/>
        <family val="2"/>
      </rPr>
      <t xml:space="preserve"> for all walls and slab soffits above false ceiling level in all area except for (Kitchens and bathrooms) </t>
    </r>
  </si>
  <si>
    <r>
      <t xml:space="preserve">Supply &amp; Apply </t>
    </r>
    <r>
      <rPr>
        <b/>
        <sz val="11"/>
        <color theme="1"/>
        <rFont val="Arial"/>
        <family val="2"/>
      </rPr>
      <t>Two Coats of Anti-fungus Paint</t>
    </r>
    <r>
      <rPr>
        <sz val="11"/>
        <color theme="1"/>
        <rFont val="Arial"/>
        <family val="2"/>
      </rPr>
      <t xml:space="preserve"> for all walls and slab soffits above false ceiling level in (Kitchens and bathrooms) </t>
    </r>
  </si>
  <si>
    <r>
      <t>Supply &amp;</t>
    </r>
    <r>
      <rPr>
        <b/>
        <sz val="10"/>
        <color theme="1"/>
        <rFont val="Arial"/>
        <family val="2"/>
      </rPr>
      <t xml:space="preserve"> </t>
    </r>
    <r>
      <rPr>
        <sz val="10"/>
        <color theme="1"/>
        <rFont val="Arial"/>
        <family val="2"/>
      </rPr>
      <t>Fix</t>
    </r>
    <r>
      <rPr>
        <b/>
        <sz val="10"/>
        <color theme="1"/>
        <rFont val="Arial"/>
        <family val="2"/>
      </rPr>
      <t xml:space="preserve"> PVC Water stop for water tanks </t>
    </r>
    <r>
      <rPr>
        <sz val="10"/>
        <color theme="1"/>
        <rFont val="Arial"/>
        <family val="2"/>
      </rPr>
      <t xml:space="preserve">as per Specifications and Engineer Approval </t>
    </r>
  </si>
  <si>
    <r>
      <t xml:space="preserve">Supply &amp; Provide </t>
    </r>
    <r>
      <rPr>
        <b/>
        <sz val="10"/>
        <color theme="1"/>
        <rFont val="Arial"/>
        <family val="2"/>
      </rPr>
      <t>RCC for Columns, Walls, Core &amp; Shear  walls</t>
    </r>
    <r>
      <rPr>
        <sz val="10"/>
        <color theme="1"/>
        <rFont val="Arial"/>
        <family val="2"/>
      </rPr>
      <t xml:space="preserve"> Including Form Work, Steel Reinforcement and Necessary Items as Per Specifications, Structure Drawings &amp; Engineer Approval  </t>
    </r>
  </si>
  <si>
    <r>
      <t xml:space="preserve">Supply &amp; Apply </t>
    </r>
    <r>
      <rPr>
        <b/>
        <sz val="10"/>
        <color theme="1"/>
        <rFont val="Arial"/>
        <family val="2"/>
      </rPr>
      <t xml:space="preserve">GRP Waterproofing lining for Internal Surfaces of Under Ground Water Tank </t>
    </r>
    <r>
      <rPr>
        <sz val="10"/>
        <color theme="1"/>
        <rFont val="Arial"/>
        <family val="2"/>
      </rPr>
      <t xml:space="preserve">as Per Specifications &amp; Engineer Approval  </t>
    </r>
  </si>
  <si>
    <r>
      <t xml:space="preserve">Supply &amp; Apply </t>
    </r>
    <r>
      <rPr>
        <b/>
        <sz val="10"/>
        <color theme="1"/>
        <rFont val="Arial"/>
        <family val="2"/>
      </rPr>
      <t>SBS Water Proofing Membrane</t>
    </r>
    <r>
      <rPr>
        <sz val="10"/>
        <color theme="1"/>
        <rFont val="Arial"/>
        <family val="2"/>
      </rPr>
      <t xml:space="preserve"> for Sub-structure works (Pile Caps, Strap Beams, Ground beam, Retaining Walls, Water tank external surface, etc. ), as Per Specifications, Structure Drawings &amp; Engineer Approval  </t>
    </r>
  </si>
  <si>
    <r>
      <t xml:space="preserve">Supply &amp; Provide </t>
    </r>
    <r>
      <rPr>
        <b/>
        <sz val="10"/>
        <color theme="1"/>
        <rFont val="Arial"/>
        <family val="2"/>
      </rPr>
      <t>Waterproof RCC for all surfaces to the Under-Ground Water Tank</t>
    </r>
    <r>
      <rPr>
        <sz val="10"/>
        <color theme="1"/>
        <rFont val="Arial"/>
        <family val="2"/>
      </rPr>
      <t xml:space="preserve">, Water Proof Concrete Including Form Work, Steel Reinforcement and Necessary Items as Per Specifications &amp; Engineer Approval  </t>
    </r>
  </si>
  <si>
    <r>
      <t xml:space="preserve">Supply &amp; Fix </t>
    </r>
    <r>
      <rPr>
        <b/>
        <sz val="10"/>
        <color theme="1"/>
        <rFont val="Arial"/>
        <family val="2"/>
      </rPr>
      <t>Speed Humps</t>
    </r>
    <r>
      <rPr>
        <sz val="9"/>
        <color theme="1"/>
        <rFont val="Arial"/>
        <family val="2"/>
      </rPr>
      <t xml:space="preserve"> as indicated by the Drawings Contractor rate to included all necessary works required   as per specifications and  &amp; Profession Standards &amp; Engineer Approval.</t>
    </r>
  </si>
  <si>
    <r>
      <t>(</t>
    </r>
    <r>
      <rPr>
        <u/>
        <sz val="11"/>
        <color theme="1"/>
        <rFont val="Arial"/>
        <family val="2"/>
      </rPr>
      <t>Project 224008</t>
    </r>
    <r>
      <rPr>
        <sz val="11"/>
        <color theme="1"/>
        <rFont val="Arial"/>
        <family val="2"/>
      </rPr>
      <t>)</t>
    </r>
  </si>
  <si>
    <r>
      <t xml:space="preserve">Supply &amp; fix  External </t>
    </r>
    <r>
      <rPr>
        <b/>
        <sz val="11"/>
        <color theme="1"/>
        <rFont val="Arial"/>
        <family val="2"/>
      </rPr>
      <t>Stone /</t>
    </r>
    <r>
      <rPr>
        <sz val="11"/>
        <color theme="1"/>
        <rFont val="Arial"/>
        <family val="2"/>
      </rPr>
      <t xml:space="preserve"> </t>
    </r>
    <r>
      <rPr>
        <b/>
        <sz val="11"/>
        <color theme="1"/>
        <rFont val="Arial"/>
        <family val="2"/>
      </rPr>
      <t xml:space="preserve">Porcelain Tiles </t>
    </r>
    <r>
      <rPr>
        <sz val="11"/>
        <color theme="1"/>
        <rFont val="Arial"/>
        <family val="2"/>
      </rPr>
      <t xml:space="preserve">Cladding , Mechanical Fix ( Prime Cost for </t>
    </r>
    <r>
      <rPr>
        <b/>
        <i/>
        <sz val="11"/>
        <color rgb="FF0070C0"/>
        <rFont val="Arial"/>
        <family val="2"/>
      </rPr>
      <t>Supply and Fix</t>
    </r>
    <r>
      <rPr>
        <i/>
        <sz val="11"/>
        <color rgb="FF0070C0"/>
        <rFont val="Arial"/>
        <family val="2"/>
      </rPr>
      <t xml:space="preserve"> </t>
    </r>
    <r>
      <rPr>
        <sz val="11"/>
        <color theme="1"/>
        <rFont val="Arial"/>
        <family val="2"/>
      </rPr>
      <t xml:space="preserve"> </t>
    </r>
    <r>
      <rPr>
        <b/>
        <sz val="11"/>
        <color rgb="FFFF0000"/>
        <rFont val="Arial"/>
        <family val="2"/>
      </rPr>
      <t>400</t>
    </r>
    <r>
      <rPr>
        <b/>
        <sz val="11"/>
        <color theme="1"/>
        <rFont val="Arial"/>
        <family val="2"/>
      </rPr>
      <t xml:space="preserve"> AED/m²</t>
    </r>
    <r>
      <rPr>
        <sz val="11"/>
        <color theme="1"/>
        <rFont val="Arial"/>
        <family val="2"/>
      </rPr>
      <t>) , as per Specifications  ,  Contractor rate to included all necessary works required   as per specifications and  &amp; Profession Standards &amp; Engineer Approval.</t>
    </r>
  </si>
  <si>
    <r>
      <t xml:space="preserve">Include a provisional sum of </t>
    </r>
    <r>
      <rPr>
        <b/>
        <sz val="10"/>
        <color theme="1"/>
        <rFont val="Arial"/>
        <family val="2"/>
      </rPr>
      <t>AED 45,000</t>
    </r>
    <r>
      <rPr>
        <sz val="10"/>
        <color theme="1"/>
        <rFont val="Arial"/>
        <family val="2"/>
      </rPr>
      <t xml:space="preserve"> for the supply of </t>
    </r>
    <r>
      <rPr>
        <b/>
        <sz val="10"/>
        <color theme="1"/>
        <rFont val="Arial"/>
        <family val="2"/>
      </rPr>
      <t>Building Internal Signage</t>
    </r>
  </si>
  <si>
    <r>
      <t xml:space="preserve">Supply &amp; Install Fire rated Wooden Door at </t>
    </r>
    <r>
      <rPr>
        <b/>
        <sz val="10"/>
        <color theme="1"/>
        <rFont val="Arial"/>
        <family val="2"/>
      </rPr>
      <t xml:space="preserve">Staircase </t>
    </r>
    <r>
      <rPr>
        <sz val="10"/>
        <color theme="1"/>
        <rFont val="Arial"/>
        <family val="2"/>
      </rPr>
      <t>(G.F)</t>
    </r>
    <r>
      <rPr>
        <b/>
        <sz val="10"/>
        <color theme="1"/>
        <rFont val="Arial"/>
        <family val="2"/>
      </rPr>
      <t>,</t>
    </r>
    <r>
      <rPr>
        <sz val="10"/>
        <color theme="1"/>
        <rFont val="Arial"/>
        <family val="2"/>
      </rPr>
      <t xml:space="preserve"> Type </t>
    </r>
    <r>
      <rPr>
        <b/>
        <sz val="10"/>
        <color theme="1"/>
        <rFont val="Arial"/>
        <family val="2"/>
      </rPr>
      <t>WD01</t>
    </r>
    <r>
      <rPr>
        <sz val="10"/>
        <color theme="1"/>
        <rFont val="Arial"/>
        <family val="2"/>
      </rPr>
      <t xml:space="preserve"> Solid Door (Prime Supply Cost </t>
    </r>
    <r>
      <rPr>
        <b/>
        <sz val="10"/>
        <color theme="1"/>
        <rFont val="Arial"/>
        <family val="2"/>
      </rPr>
      <t>2,800</t>
    </r>
    <r>
      <rPr>
        <sz val="10"/>
        <color theme="1"/>
        <rFont val="Arial"/>
        <family val="2"/>
      </rPr>
      <t xml:space="preserve"> AED/Door) all as per Drawings, Specifications &amp; Engineer Approval.</t>
    </r>
  </si>
  <si>
    <r>
      <t xml:space="preserve">Supply &amp; Install Fire rated Wooden Door at </t>
    </r>
    <r>
      <rPr>
        <b/>
        <sz val="10"/>
        <color theme="1"/>
        <rFont val="Arial"/>
        <family val="2"/>
      </rPr>
      <t xml:space="preserve">Staircase </t>
    </r>
    <r>
      <rPr>
        <sz val="10"/>
        <color theme="1"/>
        <rFont val="Arial"/>
        <family val="2"/>
      </rPr>
      <t xml:space="preserve">(1st Parking, Typ. Floor &amp; Roof), Type </t>
    </r>
    <r>
      <rPr>
        <b/>
        <sz val="10"/>
        <color theme="1"/>
        <rFont val="Arial"/>
        <family val="2"/>
      </rPr>
      <t>WD02</t>
    </r>
    <r>
      <rPr>
        <sz val="10"/>
        <color theme="1"/>
        <rFont val="Arial"/>
        <family val="2"/>
      </rPr>
      <t xml:space="preserve"> Solid Door (Prime Supply Cost </t>
    </r>
    <r>
      <rPr>
        <b/>
        <sz val="10"/>
        <color theme="1"/>
        <rFont val="Arial"/>
        <family val="2"/>
      </rPr>
      <t>2,800</t>
    </r>
    <r>
      <rPr>
        <sz val="10"/>
        <color theme="1"/>
        <rFont val="Arial"/>
        <family val="2"/>
      </rPr>
      <t xml:space="preserve"> AED/Door) all as per Drawings, Specifications &amp; Engineer Approval.</t>
    </r>
  </si>
  <si>
    <r>
      <t xml:space="preserve">Supply &amp; Install Wooden Door at </t>
    </r>
    <r>
      <rPr>
        <b/>
        <sz val="10"/>
        <color theme="1"/>
        <rFont val="Arial"/>
        <family val="2"/>
      </rPr>
      <t>Kitchen,</t>
    </r>
    <r>
      <rPr>
        <sz val="10"/>
        <color theme="1"/>
        <rFont val="Arial"/>
        <family val="2"/>
      </rPr>
      <t xml:space="preserve"> Type </t>
    </r>
    <r>
      <rPr>
        <b/>
        <sz val="10"/>
        <color theme="1"/>
        <rFont val="Arial"/>
        <family val="2"/>
      </rPr>
      <t>WD05</t>
    </r>
    <r>
      <rPr>
        <sz val="10"/>
        <color theme="1"/>
        <rFont val="Arial"/>
        <family val="2"/>
      </rPr>
      <t xml:space="preserve"> Solid Door (Prime Supply Cost </t>
    </r>
    <r>
      <rPr>
        <b/>
        <sz val="10"/>
        <color theme="1"/>
        <rFont val="Arial"/>
        <family val="2"/>
      </rPr>
      <t>1,800</t>
    </r>
    <r>
      <rPr>
        <sz val="10"/>
        <color theme="1"/>
        <rFont val="Arial"/>
        <family val="2"/>
      </rPr>
      <t xml:space="preserve"> AED/Door) all as per Drawings, Specifications &amp; Engineer Approval.</t>
    </r>
  </si>
  <si>
    <r>
      <t xml:space="preserve">Supply &amp; Install Wooden Doors at </t>
    </r>
    <r>
      <rPr>
        <b/>
        <sz val="10"/>
        <color theme="1"/>
        <rFont val="Arial"/>
        <family val="2"/>
      </rPr>
      <t>Bedrooms,</t>
    </r>
    <r>
      <rPr>
        <sz val="10"/>
        <color theme="1"/>
        <rFont val="Arial"/>
        <family val="2"/>
      </rPr>
      <t xml:space="preserve"> Type </t>
    </r>
    <r>
      <rPr>
        <b/>
        <sz val="10"/>
        <color theme="1"/>
        <rFont val="Arial"/>
        <family val="2"/>
      </rPr>
      <t>WD06</t>
    </r>
    <r>
      <rPr>
        <sz val="10"/>
        <color theme="1"/>
        <rFont val="Arial"/>
        <family val="2"/>
      </rPr>
      <t xml:space="preserve"> Semi-Solid Door (Prime Supply Cost </t>
    </r>
    <r>
      <rPr>
        <b/>
        <sz val="10"/>
        <color theme="1"/>
        <rFont val="Arial"/>
        <family val="2"/>
      </rPr>
      <t>1,400</t>
    </r>
    <r>
      <rPr>
        <sz val="10"/>
        <color theme="1"/>
        <rFont val="Arial"/>
        <family val="2"/>
      </rPr>
      <t xml:space="preserve"> AED/Door) all as per Drawings, Specifications &amp; Engineer Approval.</t>
    </r>
  </si>
  <si>
    <r>
      <t xml:space="preserve">Supply &amp; Install Wooden Door at </t>
    </r>
    <r>
      <rPr>
        <b/>
        <sz val="10"/>
        <color theme="1"/>
        <rFont val="Arial"/>
        <family val="2"/>
      </rPr>
      <t xml:space="preserve">Bathroom and W.C, </t>
    </r>
    <r>
      <rPr>
        <sz val="10"/>
        <color theme="1"/>
        <rFont val="Arial"/>
        <family val="2"/>
      </rPr>
      <t xml:space="preserve">Type </t>
    </r>
    <r>
      <rPr>
        <b/>
        <sz val="10"/>
        <color theme="1"/>
        <rFont val="Arial"/>
        <family val="2"/>
      </rPr>
      <t>WD07</t>
    </r>
    <r>
      <rPr>
        <sz val="10"/>
        <color theme="1"/>
        <rFont val="Arial"/>
        <family val="2"/>
      </rPr>
      <t xml:space="preserve"> Semi-Solid Door (Prime Supply Cost </t>
    </r>
    <r>
      <rPr>
        <b/>
        <sz val="10"/>
        <color theme="1"/>
        <rFont val="Arial"/>
        <family val="2"/>
      </rPr>
      <t>1,400</t>
    </r>
    <r>
      <rPr>
        <sz val="10"/>
        <color theme="1"/>
        <rFont val="Arial"/>
        <family val="2"/>
      </rPr>
      <t xml:space="preserve"> AED/Door) all as per Drawings, Specifications &amp; Engineer Approval.</t>
    </r>
  </si>
  <si>
    <r>
      <t xml:space="preserve">Supply &amp; Install Fire rated Wooden Door at </t>
    </r>
    <r>
      <rPr>
        <b/>
        <sz val="10"/>
        <color theme="1"/>
        <rFont val="Arial"/>
        <family val="2"/>
      </rPr>
      <t>W.M</t>
    </r>
    <r>
      <rPr>
        <sz val="10"/>
        <color theme="1"/>
        <rFont val="Arial"/>
        <family val="2"/>
      </rPr>
      <t xml:space="preserve"> </t>
    </r>
    <r>
      <rPr>
        <b/>
        <sz val="10"/>
        <color theme="1"/>
        <rFont val="Arial"/>
        <family val="2"/>
      </rPr>
      <t>Typical Floors,</t>
    </r>
    <r>
      <rPr>
        <sz val="10"/>
        <color theme="1"/>
        <rFont val="Arial"/>
        <family val="2"/>
      </rPr>
      <t xml:space="preserve">  Type </t>
    </r>
    <r>
      <rPr>
        <b/>
        <sz val="10"/>
        <color theme="1"/>
        <rFont val="Arial"/>
        <family val="2"/>
      </rPr>
      <t>WD10</t>
    </r>
    <r>
      <rPr>
        <sz val="10"/>
        <color theme="1"/>
        <rFont val="Arial"/>
        <family val="2"/>
      </rPr>
      <t xml:space="preserve"> Solid Door (Prime Supply Cost </t>
    </r>
    <r>
      <rPr>
        <b/>
        <sz val="10"/>
        <color theme="1"/>
        <rFont val="Arial"/>
        <family val="2"/>
      </rPr>
      <t>3,800</t>
    </r>
    <r>
      <rPr>
        <sz val="10"/>
        <color theme="1"/>
        <rFont val="Arial"/>
        <family val="2"/>
      </rPr>
      <t xml:space="preserve"> AED/Door) all as per Drawings, Specifications &amp; Engineer Approval.</t>
    </r>
  </si>
  <si>
    <r>
      <t xml:space="preserve">Supply &amp; Install Fire rated Wooden Door at </t>
    </r>
    <r>
      <rPr>
        <b/>
        <sz val="10"/>
        <color theme="1"/>
        <rFont val="Arial"/>
        <family val="2"/>
      </rPr>
      <t>Flat Entrance,</t>
    </r>
    <r>
      <rPr>
        <sz val="10"/>
        <color theme="1"/>
        <rFont val="Arial"/>
        <family val="2"/>
      </rPr>
      <t xml:space="preserve"> Type </t>
    </r>
    <r>
      <rPr>
        <b/>
        <sz val="10"/>
        <color theme="1"/>
        <rFont val="Arial"/>
        <family val="2"/>
      </rPr>
      <t>WD04</t>
    </r>
    <r>
      <rPr>
        <sz val="10"/>
        <color theme="1"/>
        <rFont val="Arial"/>
        <family val="2"/>
      </rPr>
      <t xml:space="preserve"> Solid Door (Prime Supply Cost </t>
    </r>
    <r>
      <rPr>
        <b/>
        <sz val="10"/>
        <color theme="1"/>
        <rFont val="Arial"/>
        <family val="2"/>
      </rPr>
      <t>2,800</t>
    </r>
    <r>
      <rPr>
        <sz val="10"/>
        <color theme="1"/>
        <rFont val="Arial"/>
        <family val="2"/>
      </rPr>
      <t xml:space="preserve"> AED/Door) all as per Drawings, Specifications &amp; Engineer Approval.</t>
    </r>
  </si>
  <si>
    <r>
      <t xml:space="preserve">Supply &amp; Install Fire rated Wooden Door at </t>
    </r>
    <r>
      <rPr>
        <b/>
        <sz val="10"/>
        <color theme="1"/>
        <rFont val="Arial"/>
        <family val="2"/>
      </rPr>
      <t>Garbage room,</t>
    </r>
    <r>
      <rPr>
        <sz val="10"/>
        <color theme="1"/>
        <rFont val="Arial"/>
        <family val="2"/>
      </rPr>
      <t xml:space="preserve">  Type </t>
    </r>
    <r>
      <rPr>
        <b/>
        <sz val="10"/>
        <color theme="1"/>
        <rFont val="Arial"/>
        <family val="2"/>
      </rPr>
      <t>WD08</t>
    </r>
    <r>
      <rPr>
        <sz val="10"/>
        <color theme="1"/>
        <rFont val="Arial"/>
        <family val="2"/>
      </rPr>
      <t xml:space="preserve"> Solid Door (Prime Supply Cost </t>
    </r>
    <r>
      <rPr>
        <b/>
        <sz val="10"/>
        <color theme="1"/>
        <rFont val="Arial"/>
        <family val="2"/>
      </rPr>
      <t>2,400</t>
    </r>
    <r>
      <rPr>
        <sz val="10"/>
        <color theme="1"/>
        <rFont val="Arial"/>
        <family val="2"/>
      </rPr>
      <t xml:space="preserve"> AED/Door) all as per Drawings, Specifications &amp; Engineer Approval.</t>
    </r>
  </si>
  <si>
    <r>
      <t xml:space="preserve">Supply &amp; Install Wooden Door at </t>
    </r>
    <r>
      <rPr>
        <b/>
        <sz val="10"/>
        <color theme="1"/>
        <rFont val="Arial"/>
        <family val="2"/>
      </rPr>
      <t>G.F Exit &amp; Telephone Room,</t>
    </r>
    <r>
      <rPr>
        <sz val="10"/>
        <color theme="1"/>
        <rFont val="Arial"/>
        <family val="2"/>
      </rPr>
      <t xml:space="preserve"> Type </t>
    </r>
    <r>
      <rPr>
        <b/>
        <sz val="10"/>
        <color theme="1"/>
        <rFont val="Arial"/>
        <family val="2"/>
      </rPr>
      <t>WD03</t>
    </r>
    <r>
      <rPr>
        <sz val="10"/>
        <color theme="1"/>
        <rFont val="Arial"/>
        <family val="2"/>
      </rPr>
      <t xml:space="preserve"> Semi-Solid Door (Prime Supply Cost </t>
    </r>
    <r>
      <rPr>
        <b/>
        <sz val="10"/>
        <color theme="1"/>
        <rFont val="Arial"/>
        <family val="2"/>
      </rPr>
      <t>1,600</t>
    </r>
    <r>
      <rPr>
        <sz val="10"/>
        <color theme="1"/>
        <rFont val="Arial"/>
        <family val="2"/>
      </rPr>
      <t xml:space="preserve"> AED/Door) all as per Drawings, Specifications &amp; Engineer Approval.</t>
    </r>
  </si>
  <si>
    <r>
      <t xml:space="preserve">Supply &amp; Install Fire rated Wooden Door at </t>
    </r>
    <r>
      <rPr>
        <b/>
        <sz val="10"/>
        <color theme="1"/>
        <rFont val="Arial"/>
        <family val="2"/>
      </rPr>
      <t>GSM &amp; Machine Room,</t>
    </r>
    <r>
      <rPr>
        <sz val="10"/>
        <color theme="1"/>
        <rFont val="Arial"/>
        <family val="2"/>
      </rPr>
      <t xml:space="preserve"> Type </t>
    </r>
    <r>
      <rPr>
        <b/>
        <sz val="10"/>
        <color theme="1"/>
        <rFont val="Arial"/>
        <family val="2"/>
      </rPr>
      <t>WD11</t>
    </r>
    <r>
      <rPr>
        <sz val="10"/>
        <color theme="1"/>
        <rFont val="Arial"/>
        <family val="2"/>
      </rPr>
      <t xml:space="preserve"> Solid Door (Prime Supply Cost </t>
    </r>
    <r>
      <rPr>
        <b/>
        <sz val="10"/>
        <color theme="1"/>
        <rFont val="Arial"/>
        <family val="2"/>
      </rPr>
      <t>3,000</t>
    </r>
    <r>
      <rPr>
        <sz val="10"/>
        <color theme="1"/>
        <rFont val="Arial"/>
        <family val="2"/>
      </rPr>
      <t xml:space="preserve"> AED/Door ) all as per Drawings, Specifications &amp; Engineer Approval.</t>
    </r>
  </si>
  <si>
    <r>
      <t xml:space="preserve">Supply &amp; Install Wooden Door at </t>
    </r>
    <r>
      <rPr>
        <b/>
        <sz val="10"/>
        <color theme="1"/>
        <rFont val="Arial"/>
        <family val="2"/>
      </rPr>
      <t xml:space="preserve">Watchman room, </t>
    </r>
    <r>
      <rPr>
        <sz val="10"/>
        <color theme="1"/>
        <rFont val="Arial"/>
        <family val="2"/>
      </rPr>
      <t xml:space="preserve">Type </t>
    </r>
    <r>
      <rPr>
        <b/>
        <sz val="10"/>
        <color theme="1"/>
        <rFont val="Arial"/>
        <family val="2"/>
      </rPr>
      <t>WD12</t>
    </r>
    <r>
      <rPr>
        <sz val="10"/>
        <color theme="1"/>
        <rFont val="Arial"/>
        <family val="2"/>
      </rPr>
      <t xml:space="preserve"> Semi-Solid Door (Prime Supply Cost </t>
    </r>
    <r>
      <rPr>
        <b/>
        <sz val="10"/>
        <color theme="1"/>
        <rFont val="Arial"/>
        <family val="2"/>
      </rPr>
      <t>1,400</t>
    </r>
    <r>
      <rPr>
        <sz val="10"/>
        <color theme="1"/>
        <rFont val="Arial"/>
        <family val="2"/>
      </rPr>
      <t xml:space="preserve"> AED/Door) all as per Drawings, Specifications &amp; Engineer Approval.</t>
    </r>
  </si>
  <si>
    <r>
      <t xml:space="preserve">Supply &amp; Install Wooden Door at </t>
    </r>
    <r>
      <rPr>
        <b/>
        <sz val="10"/>
        <color theme="1"/>
        <rFont val="Arial"/>
        <family val="2"/>
      </rPr>
      <t xml:space="preserve">Bath room (Watchman), </t>
    </r>
    <r>
      <rPr>
        <sz val="10"/>
        <color theme="1"/>
        <rFont val="Arial"/>
        <family val="2"/>
      </rPr>
      <t xml:space="preserve">Type </t>
    </r>
    <r>
      <rPr>
        <b/>
        <sz val="10"/>
        <color theme="1"/>
        <rFont val="Arial"/>
        <family val="2"/>
      </rPr>
      <t>WD13</t>
    </r>
    <r>
      <rPr>
        <sz val="10"/>
        <color theme="1"/>
        <rFont val="Arial"/>
        <family val="2"/>
      </rPr>
      <t xml:space="preserve"> Semi-Solid Door (Prime Supply Cost </t>
    </r>
    <r>
      <rPr>
        <b/>
        <sz val="10"/>
        <color theme="1"/>
        <rFont val="Arial"/>
        <family val="2"/>
      </rPr>
      <t>1,300</t>
    </r>
    <r>
      <rPr>
        <sz val="10"/>
        <color theme="1"/>
        <rFont val="Arial"/>
        <family val="2"/>
      </rPr>
      <t xml:space="preserve"> AED/Door) all as per Drawings, Specifications &amp; Engineer Approval.</t>
    </r>
  </si>
  <si>
    <r>
      <t xml:space="preserve">Supply &amp; Install Wooden Door at </t>
    </r>
    <r>
      <rPr>
        <b/>
        <sz val="10"/>
        <color theme="1"/>
        <rFont val="Arial"/>
        <family val="2"/>
      </rPr>
      <t xml:space="preserve">Bath room (Shops), </t>
    </r>
    <r>
      <rPr>
        <sz val="10"/>
        <color theme="1"/>
        <rFont val="Arial"/>
        <family val="2"/>
      </rPr>
      <t xml:space="preserve">Type </t>
    </r>
    <r>
      <rPr>
        <b/>
        <sz val="10"/>
        <color theme="1"/>
        <rFont val="Arial"/>
        <family val="2"/>
      </rPr>
      <t>WD14</t>
    </r>
    <r>
      <rPr>
        <sz val="10"/>
        <color theme="1"/>
        <rFont val="Arial"/>
        <family val="2"/>
      </rPr>
      <t xml:space="preserve"> Semi-Solid Door (Prime Supply Cost </t>
    </r>
    <r>
      <rPr>
        <b/>
        <sz val="10"/>
        <color theme="1"/>
        <rFont val="Arial"/>
        <family val="2"/>
      </rPr>
      <t>1,300</t>
    </r>
    <r>
      <rPr>
        <sz val="10"/>
        <color theme="1"/>
        <rFont val="Arial"/>
        <family val="2"/>
      </rPr>
      <t xml:space="preserve"> AED/Door) all as per Drawings, Specifications &amp; Engineer Approval.</t>
    </r>
  </si>
  <si>
    <r>
      <t xml:space="preserve">Supply &amp; Install </t>
    </r>
    <r>
      <rPr>
        <b/>
        <sz val="10"/>
        <color theme="1"/>
        <rFont val="Arial"/>
        <family val="2"/>
      </rPr>
      <t>Shoe Cabinets</t>
    </r>
    <r>
      <rPr>
        <sz val="10"/>
        <color theme="1"/>
        <rFont val="Arial"/>
        <family val="2"/>
      </rPr>
      <t xml:space="preserve"> (Prime Supply Cost </t>
    </r>
    <r>
      <rPr>
        <b/>
        <sz val="10"/>
        <color theme="1"/>
        <rFont val="Arial"/>
        <family val="2"/>
      </rPr>
      <t>1,200 AED/RM</t>
    </r>
    <r>
      <rPr>
        <sz val="10"/>
        <color theme="1"/>
        <rFont val="Arial"/>
        <family val="2"/>
      </rPr>
      <t>), including all necessary works as per Profession Standards &amp; Engineer Approval</t>
    </r>
  </si>
  <si>
    <r>
      <t xml:space="preserve">ALUMINIUM DOOR Type </t>
    </r>
    <r>
      <rPr>
        <b/>
        <sz val="10"/>
        <color rgb="FF0070C0"/>
        <rFont val="Arial"/>
        <family val="2"/>
      </rPr>
      <t>ALD 01</t>
    </r>
  </si>
  <si>
    <r>
      <t xml:space="preserve">ALUMINIUM DOOR Type </t>
    </r>
    <r>
      <rPr>
        <b/>
        <sz val="10"/>
        <color rgb="FF0070C0"/>
        <rFont val="Arial"/>
        <family val="2"/>
      </rPr>
      <t>ALD 02</t>
    </r>
  </si>
  <si>
    <r>
      <t xml:space="preserve">ALUMINIUM DOOR Type </t>
    </r>
    <r>
      <rPr>
        <b/>
        <sz val="10"/>
        <color rgb="FF0070C0"/>
        <rFont val="Arial"/>
        <family val="2"/>
      </rPr>
      <t>ALD 03</t>
    </r>
    <r>
      <rPr>
        <sz val="11"/>
        <color theme="1"/>
        <rFont val="Calibri"/>
        <family val="2"/>
        <scheme val="minor"/>
      </rPr>
      <t/>
    </r>
  </si>
  <si>
    <r>
      <t xml:space="preserve">ALUMINIUM DOOR Type </t>
    </r>
    <r>
      <rPr>
        <b/>
        <sz val="10"/>
        <color rgb="FF0070C0"/>
        <rFont val="Arial"/>
        <family val="2"/>
      </rPr>
      <t>ALD 04</t>
    </r>
    <r>
      <rPr>
        <sz val="11"/>
        <color theme="1"/>
        <rFont val="Calibri"/>
        <family val="2"/>
        <scheme val="minor"/>
      </rPr>
      <t/>
    </r>
  </si>
  <si>
    <r>
      <t xml:space="preserve">ALUMINIUM DOOR Type </t>
    </r>
    <r>
      <rPr>
        <b/>
        <sz val="10"/>
        <color rgb="FF0070C0"/>
        <rFont val="Arial"/>
        <family val="2"/>
      </rPr>
      <t>ALD 05</t>
    </r>
    <r>
      <rPr>
        <sz val="11"/>
        <color theme="1"/>
        <rFont val="Calibri"/>
        <family val="2"/>
        <scheme val="minor"/>
      </rPr>
      <t/>
    </r>
  </si>
  <si>
    <r>
      <t xml:space="preserve">ALUMINIUM DOOR Type </t>
    </r>
    <r>
      <rPr>
        <b/>
        <sz val="10"/>
        <color rgb="FF0070C0"/>
        <rFont val="Arial"/>
        <family val="2"/>
      </rPr>
      <t>ALD 06</t>
    </r>
    <r>
      <rPr>
        <sz val="11"/>
        <color theme="1"/>
        <rFont val="Calibri"/>
        <family val="2"/>
        <scheme val="minor"/>
      </rPr>
      <t/>
    </r>
  </si>
  <si>
    <r>
      <t xml:space="preserve">WINDOW NUMBER </t>
    </r>
    <r>
      <rPr>
        <b/>
        <sz val="10"/>
        <color rgb="FF0070C0"/>
        <rFont val="Arial"/>
        <family val="2"/>
      </rPr>
      <t>W01</t>
    </r>
  </si>
  <si>
    <r>
      <t xml:space="preserve">WINDOW NUMBER </t>
    </r>
    <r>
      <rPr>
        <b/>
        <sz val="10"/>
        <color rgb="FF0070C0"/>
        <rFont val="Arial"/>
        <family val="2"/>
      </rPr>
      <t>W02</t>
    </r>
  </si>
  <si>
    <r>
      <t xml:space="preserve">WINDOW NUMBER </t>
    </r>
    <r>
      <rPr>
        <b/>
        <sz val="10"/>
        <color rgb="FF0070C0"/>
        <rFont val="Arial"/>
        <family val="2"/>
      </rPr>
      <t>W03</t>
    </r>
    <r>
      <rPr>
        <sz val="11"/>
        <color theme="1"/>
        <rFont val="Calibri"/>
        <family val="2"/>
        <scheme val="minor"/>
      </rPr>
      <t/>
    </r>
  </si>
  <si>
    <r>
      <t xml:space="preserve">WINDOW NUMBER </t>
    </r>
    <r>
      <rPr>
        <b/>
        <sz val="10"/>
        <color rgb="FF0070C0"/>
        <rFont val="Arial"/>
        <family val="2"/>
      </rPr>
      <t>W04</t>
    </r>
    <r>
      <rPr>
        <sz val="11"/>
        <color theme="1"/>
        <rFont val="Calibri"/>
        <family val="2"/>
        <scheme val="minor"/>
      </rPr>
      <t/>
    </r>
  </si>
  <si>
    <r>
      <t xml:space="preserve">WINDOW NUMBER </t>
    </r>
    <r>
      <rPr>
        <b/>
        <sz val="10"/>
        <color rgb="FF0070C0"/>
        <rFont val="Arial"/>
        <family val="2"/>
      </rPr>
      <t>W05</t>
    </r>
    <r>
      <rPr>
        <sz val="11"/>
        <color theme="1"/>
        <rFont val="Calibri"/>
        <family val="2"/>
        <scheme val="minor"/>
      </rPr>
      <t/>
    </r>
  </si>
  <si>
    <r>
      <t xml:space="preserve">WINDOW NUMBER </t>
    </r>
    <r>
      <rPr>
        <b/>
        <sz val="10"/>
        <color rgb="FF0070C0"/>
        <rFont val="Arial"/>
        <family val="2"/>
      </rPr>
      <t>W06</t>
    </r>
    <r>
      <rPr>
        <sz val="11"/>
        <color theme="1"/>
        <rFont val="Calibri"/>
        <family val="2"/>
        <scheme val="minor"/>
      </rPr>
      <t/>
    </r>
  </si>
  <si>
    <r>
      <t xml:space="preserve">Glass Facade Type </t>
    </r>
    <r>
      <rPr>
        <b/>
        <sz val="11"/>
        <color rgb="FF0070C0"/>
        <rFont val="Arial"/>
        <family val="2"/>
      </rPr>
      <t>GF 09</t>
    </r>
    <r>
      <rPr>
        <sz val="11"/>
        <color theme="1"/>
        <rFont val="Calibri"/>
        <family val="2"/>
        <scheme val="minor"/>
      </rPr>
      <t/>
    </r>
  </si>
  <si>
    <r>
      <t xml:space="preserve">Glass Facade Type </t>
    </r>
    <r>
      <rPr>
        <b/>
        <sz val="11"/>
        <color rgb="FF0070C0"/>
        <rFont val="Arial"/>
        <family val="2"/>
      </rPr>
      <t>GF 10</t>
    </r>
    <r>
      <rPr>
        <sz val="11"/>
        <color theme="1"/>
        <rFont val="Calibri"/>
        <family val="2"/>
        <scheme val="minor"/>
      </rPr>
      <t/>
    </r>
  </si>
  <si>
    <r>
      <rPr>
        <b/>
        <sz val="11"/>
        <color theme="1"/>
        <rFont val="Arial"/>
        <family val="2"/>
      </rPr>
      <t>Type - 03</t>
    </r>
    <r>
      <rPr>
        <sz val="11"/>
        <color theme="1"/>
        <rFont val="Arial"/>
        <family val="2"/>
      </rPr>
      <t xml:space="preserve"> Supply &amp; Install </t>
    </r>
    <r>
      <rPr>
        <b/>
        <sz val="11"/>
        <color theme="1"/>
        <rFont val="Arial"/>
        <family val="2"/>
      </rPr>
      <t>Aluminum Polyester Powder Coated tubular Handrail</t>
    </r>
    <r>
      <rPr>
        <sz val="11"/>
        <color theme="1"/>
        <rFont val="Arial"/>
        <family val="2"/>
      </rPr>
      <t xml:space="preserve"> </t>
    </r>
    <r>
      <rPr>
        <b/>
        <sz val="11"/>
        <color theme="1"/>
        <rFont val="Arial"/>
        <family val="2"/>
      </rPr>
      <t>for the Staircase</t>
    </r>
    <r>
      <rPr>
        <sz val="11"/>
        <color theme="1"/>
        <rFont val="Arial"/>
        <family val="2"/>
      </rPr>
      <t xml:space="preserve"> with all necessary Structural Support as per Specifications &amp; arch drawings, design is upon shop drawings approval &amp; client approval.</t>
    </r>
  </si>
  <si>
    <r>
      <t xml:space="preserve">Supply &amp; Install </t>
    </r>
    <r>
      <rPr>
        <b/>
        <sz val="11"/>
        <color theme="1"/>
        <rFont val="Arial"/>
        <family val="2"/>
      </rPr>
      <t xml:space="preserve">Steel canopy with Extruded Aluminum Claustra Panel, 6mm Thick Clear Acrylic Sheet Cover  </t>
    </r>
    <r>
      <rPr>
        <sz val="11"/>
        <color theme="1"/>
        <rFont val="Arial"/>
        <family val="2"/>
      </rPr>
      <t xml:space="preserve">&amp; </t>
    </r>
    <r>
      <rPr>
        <b/>
        <sz val="11"/>
        <color theme="1"/>
        <rFont val="Arial"/>
        <family val="2"/>
      </rPr>
      <t>S.S. Grade 316 tension bracket</t>
    </r>
    <r>
      <rPr>
        <sz val="11"/>
        <color theme="1"/>
        <rFont val="Arial"/>
        <family val="2"/>
      </rPr>
      <t xml:space="preserve"> as with all necessary Structural Support as per Specifications &amp; arch drawings, design is upon shop drawings approval &amp; client approval.
At Elevation No. 02, 03, 04</t>
    </r>
  </si>
  <si>
    <t>These General Requirements are applicable to the whole of the  works each item, clause or  sub-clause must be individually  priced.  The  Tenderer shall not  enter any lump-sums covering more than one or all items, clauses or sub-clauses.
Note: Where any item, clause, or sub clause of the preliminaries has  not been priced,  it  will  be  deemed  that  the value of such  item, clause or sub  clause is included in the rates for measured items elsewhere in the bills of quantities.
Any Work not specified in drawings, specification, BOQ but required as per local authorities and necessary to complete work to be included in the Main Contractors scope of work.</t>
  </si>
  <si>
    <r>
      <t xml:space="preserve">Supply &amp; Provide </t>
    </r>
    <r>
      <rPr>
        <b/>
        <sz val="10"/>
        <color theme="1"/>
        <rFont val="Arial"/>
        <family val="2"/>
      </rPr>
      <t>RCC for Trench</t>
    </r>
    <r>
      <rPr>
        <sz val="10"/>
        <color theme="1"/>
        <rFont val="Arial"/>
        <family val="2"/>
      </rPr>
      <t xml:space="preserve"> Including Form Work, Steel Reinforcement and Necessary Items as Per Specifications &amp; Engineer Approval  </t>
    </r>
  </si>
  <si>
    <r>
      <t xml:space="preserve">Supply &amp; Provide </t>
    </r>
    <r>
      <rPr>
        <b/>
        <sz val="10"/>
        <color theme="1"/>
        <rFont val="Arial"/>
        <family val="2"/>
      </rPr>
      <t>RCC for Transfer Beams &amp; Slab</t>
    </r>
    <r>
      <rPr>
        <sz val="10"/>
        <color theme="1"/>
        <rFont val="Arial"/>
        <family val="2"/>
      </rPr>
      <t xml:space="preserve"> Including Form Work, Steel Reinforcement and Necessary Items as Per Specifications &amp; Engineer Approval  </t>
    </r>
  </si>
  <si>
    <r>
      <t xml:space="preserve">Supply &amp; Install Fire rated Wooden Door at </t>
    </r>
    <r>
      <rPr>
        <b/>
        <sz val="10"/>
        <rFont val="Arial"/>
        <family val="2"/>
      </rPr>
      <t>Electrical Room, FFC, Telephone Room, Gas Room,</t>
    </r>
    <r>
      <rPr>
        <sz val="10"/>
        <rFont val="Arial"/>
        <family val="2"/>
      </rPr>
      <t xml:space="preserve"> Type </t>
    </r>
    <r>
      <rPr>
        <b/>
        <sz val="10"/>
        <rFont val="Arial"/>
        <family val="2"/>
      </rPr>
      <t>WD09</t>
    </r>
    <r>
      <rPr>
        <sz val="10"/>
        <rFont val="Arial"/>
        <family val="2"/>
      </rPr>
      <t xml:space="preserve"> Solid Door (Prime Supply Cost </t>
    </r>
    <r>
      <rPr>
        <b/>
        <sz val="10"/>
        <rFont val="Arial"/>
        <family val="2"/>
      </rPr>
      <t>2,400</t>
    </r>
    <r>
      <rPr>
        <sz val="10"/>
        <rFont val="Arial"/>
        <family val="2"/>
      </rPr>
      <t xml:space="preserve"> AED/Door ) all as per Drawings, Specifications &amp; Engineer Approval.</t>
    </r>
  </si>
  <si>
    <r>
      <t xml:space="preserve">WINDOW NUMBER </t>
    </r>
    <r>
      <rPr>
        <b/>
        <sz val="10"/>
        <color rgb="FF0070C0"/>
        <rFont val="Arial"/>
        <family val="2"/>
      </rPr>
      <t>W00</t>
    </r>
  </si>
  <si>
    <t>Supply &amp; Install Cat Ladder for lift machine  room, lift pit, roof to top roof, inside duct</t>
  </si>
  <si>
    <t>Fixed Glass at Roof Top above Balcony</t>
  </si>
  <si>
    <t>Grating near Ramp (GF)</t>
  </si>
  <si>
    <t>Louvered Cover for Gas Duct</t>
  </si>
  <si>
    <r>
      <t xml:space="preserve">Supply &amp; Install  </t>
    </r>
    <r>
      <rPr>
        <b/>
        <sz val="11"/>
        <color theme="1"/>
        <rFont val="Arial"/>
        <family val="2"/>
      </rPr>
      <t>Moisture Resistant Gypsum Board False</t>
    </r>
    <r>
      <rPr>
        <sz val="11"/>
        <color theme="1"/>
        <rFont val="Arial"/>
        <family val="2"/>
      </rPr>
      <t xml:space="preserve"> Ceiling, including Emulsion paint Complete with all access panels Contractor rate to include all necessary works required   as per specifications, profession standards &amp; engineer approval.</t>
    </r>
  </si>
  <si>
    <r>
      <t xml:space="preserve">Supply &amp; Provide </t>
    </r>
    <r>
      <rPr>
        <b/>
        <sz val="10"/>
        <color theme="1"/>
        <rFont val="Arial"/>
        <family val="2"/>
      </rPr>
      <t>6 CM Thick Interlocking Pavement for Foot/ Walk Area</t>
    </r>
    <r>
      <rPr>
        <sz val="10"/>
        <color theme="1"/>
        <rFont val="Arial"/>
        <family val="2"/>
      </rPr>
      <t xml:space="preserve">  </t>
    </r>
    <r>
      <rPr>
        <sz val="10"/>
        <color theme="4" tint="-0.249977111117893"/>
        <rFont val="Arial"/>
        <family val="2"/>
      </rPr>
      <t>(Inside plot limit)</t>
    </r>
    <r>
      <rPr>
        <sz val="10"/>
        <color theme="1"/>
        <rFont val="Arial"/>
        <family val="2"/>
      </rPr>
      <t xml:space="preserve"> as indicated by the Drawings ,Contractor rate to included all necessary works required   as per specifications and  &amp; Profession Standards &amp; Engineer Approval.</t>
    </r>
  </si>
  <si>
    <r>
      <t xml:space="preserve">Supply &amp; Provide </t>
    </r>
    <r>
      <rPr>
        <b/>
        <sz val="10"/>
        <color theme="1"/>
        <rFont val="Arial"/>
        <family val="2"/>
      </rPr>
      <t>6 CM Thick Interlocking Pavement for Foot/ Walk Area</t>
    </r>
    <r>
      <rPr>
        <sz val="10"/>
        <color theme="1"/>
        <rFont val="Arial"/>
        <family val="2"/>
      </rPr>
      <t xml:space="preserve">  </t>
    </r>
    <r>
      <rPr>
        <sz val="10"/>
        <color rgb="FFFF0000"/>
        <rFont val="Arial"/>
        <family val="2"/>
      </rPr>
      <t>(outside plot limit)</t>
    </r>
    <r>
      <rPr>
        <sz val="10"/>
        <color theme="1"/>
        <rFont val="Arial"/>
        <family val="2"/>
      </rPr>
      <t xml:space="preserve"> as indicated by the Drawings ,Contractor rate to included all necessary works required   as per specifications and  &amp; Profession Standards &amp; Engineer Approval.</t>
    </r>
  </si>
  <si>
    <r>
      <t xml:space="preserve">Supply &amp; Provide </t>
    </r>
    <r>
      <rPr>
        <b/>
        <sz val="10"/>
        <color theme="1"/>
        <rFont val="Arial"/>
        <family val="2"/>
      </rPr>
      <t>Curbstone</t>
    </r>
    <r>
      <rPr>
        <sz val="10"/>
        <color theme="1"/>
        <rFont val="Arial"/>
        <family val="2"/>
      </rPr>
      <t>, Contractor rate to included all necessary works required   as per specifications and  &amp; Profession Standards &amp; Engineer Approval.</t>
    </r>
  </si>
  <si>
    <r>
      <t xml:space="preserve">Supply and Fix </t>
    </r>
    <r>
      <rPr>
        <b/>
        <sz val="9"/>
        <color theme="1"/>
        <rFont val="Arial"/>
        <family val="2"/>
      </rPr>
      <t>Exhaust Shaft/ Pipe</t>
    </r>
    <r>
      <rPr>
        <sz val="9"/>
        <color theme="1"/>
        <rFont val="Arial"/>
        <family val="2"/>
      </rPr>
      <t xml:space="preserve"> for Restaurants/ Shops, </t>
    </r>
    <r>
      <rPr>
        <b/>
        <sz val="9"/>
        <color rgb="FFFF0000"/>
        <rFont val="Arial"/>
        <family val="2"/>
      </rPr>
      <t>G.I sheet duct to External Elevation</t>
    </r>
    <r>
      <rPr>
        <b/>
        <sz val="9"/>
        <color theme="1"/>
        <rFont val="Arial"/>
        <family val="2"/>
      </rPr>
      <t>.</t>
    </r>
    <r>
      <rPr>
        <sz val="9"/>
        <color theme="1"/>
        <rFont val="Arial"/>
        <family val="2"/>
      </rPr>
      <t xml:space="preserve"> all in accordance with relevant drawings and specifications, authority approval, and Contractor rate to include all necessary works required per professional standards &amp; Engineer Approval.</t>
    </r>
  </si>
  <si>
    <t>SUB-TOTAL (Before Discount)</t>
  </si>
  <si>
    <t>Tenderer's Price Adjustment, Discount (%)</t>
  </si>
  <si>
    <t>GRAND TOTAL PROJECT PRICE (AED)</t>
  </si>
  <si>
    <t>TOTAL AMOUNT IN WORDS</t>
  </si>
  <si>
    <t>SIGNATURE OF TENDERER                                                  STAMP OF TENDERER</t>
  </si>
  <si>
    <t>Dhs…...............................................................................................................................................</t>
  </si>
  <si>
    <t>…...…...........................................................................................................................................</t>
  </si>
  <si>
    <r>
      <rPr>
        <b/>
        <sz val="11"/>
        <color theme="1"/>
        <rFont val="Arial"/>
        <family val="2"/>
      </rPr>
      <t>Type - 01</t>
    </r>
    <r>
      <rPr>
        <sz val="11"/>
        <color theme="1"/>
        <rFont val="Arial"/>
        <family val="2"/>
      </rPr>
      <t xml:space="preserve"> Supply &amp; Install </t>
    </r>
    <r>
      <rPr>
        <b/>
        <sz val="11"/>
        <color theme="1"/>
        <rFont val="Arial"/>
        <family val="2"/>
      </rPr>
      <t>Glazed</t>
    </r>
    <r>
      <rPr>
        <sz val="11"/>
        <color theme="1"/>
        <rFont val="Arial"/>
        <family val="2"/>
      </rPr>
      <t xml:space="preserve"> </t>
    </r>
    <r>
      <rPr>
        <b/>
        <sz val="11"/>
        <color theme="1"/>
        <rFont val="Arial"/>
        <family val="2"/>
      </rPr>
      <t>Aluminum Handrail Facial Mounted</t>
    </r>
    <r>
      <rPr>
        <sz val="11"/>
        <color theme="1"/>
        <rFont val="Arial"/>
        <family val="2"/>
      </rPr>
      <t xml:space="preserve"> with prefabricated powder coated aluminum grip bar, and Safety Laminated Glass, with all necessary Structural Support as per Specifications &amp; arch drawings, design is upon shop drawings approval &amp; client approval.</t>
    </r>
  </si>
  <si>
    <r>
      <rPr>
        <b/>
        <sz val="11"/>
        <color theme="1"/>
        <rFont val="Arial"/>
        <family val="2"/>
      </rPr>
      <t>Type - 02</t>
    </r>
    <r>
      <rPr>
        <sz val="11"/>
        <color theme="1"/>
        <rFont val="Arial"/>
        <family val="2"/>
      </rPr>
      <t xml:space="preserve"> Supply &amp; Install </t>
    </r>
    <r>
      <rPr>
        <b/>
        <sz val="11"/>
        <color theme="1"/>
        <rFont val="Arial"/>
        <family val="2"/>
      </rPr>
      <t>Glazed</t>
    </r>
    <r>
      <rPr>
        <sz val="11"/>
        <color theme="1"/>
        <rFont val="Arial"/>
        <family val="2"/>
      </rPr>
      <t xml:space="preserve"> </t>
    </r>
    <r>
      <rPr>
        <b/>
        <sz val="11"/>
        <color theme="1"/>
        <rFont val="Arial"/>
        <family val="2"/>
      </rPr>
      <t>Aluminum Handrail Top Mounted</t>
    </r>
    <r>
      <rPr>
        <sz val="11"/>
        <color theme="1"/>
        <rFont val="Arial"/>
        <family val="2"/>
      </rPr>
      <t xml:space="preserve"> with prefabricated powder coated aluminum grip bar, and Safety Laminated Glass, with all necessary Structural Support as per Specifications &amp; arch drawings, design is upon shop drawings approval &amp; client approval.</t>
    </r>
  </si>
  <si>
    <t>EFS-2
EFS-3
EFS-4</t>
  </si>
  <si>
    <r>
      <t xml:space="preserve">Supply and Apply  </t>
    </r>
    <r>
      <rPr>
        <b/>
        <sz val="11"/>
        <color theme="1"/>
        <rFont val="Arial"/>
        <family val="2"/>
      </rPr>
      <t>Jotasheild paint system (Type 01, 02, 03)</t>
    </r>
    <r>
      <rPr>
        <sz val="11"/>
        <color theme="1"/>
        <rFont val="Arial"/>
        <family val="2"/>
      </rPr>
      <t xml:space="preserve"> as per specs , color to engineers approval all in accordance with specifications and for areas indicated on the finishing schedule</t>
    </r>
  </si>
  <si>
    <r>
      <t>Supply &amp; Apply</t>
    </r>
    <r>
      <rPr>
        <b/>
        <sz val="10"/>
        <color theme="1"/>
        <rFont val="Arial"/>
        <family val="2"/>
      </rPr>
      <t xml:space="preserve"> External plaster</t>
    </r>
    <r>
      <rPr>
        <sz val="10"/>
        <color theme="1"/>
        <rFont val="Arial"/>
        <family val="2"/>
      </rPr>
      <t xml:space="preserve"> for walls (Including OTS, back side of parapet) as specified in specifications and complete with all related accessories, including Grooves. As per Engineer Approval</t>
    </r>
  </si>
  <si>
    <r>
      <t xml:space="preserve">Supply &amp; Install Powder Coated </t>
    </r>
    <r>
      <rPr>
        <b/>
        <sz val="11"/>
        <color theme="1"/>
        <rFont val="Arial"/>
        <family val="2"/>
      </rPr>
      <t xml:space="preserve">Extruded Powder Coated Aluminum Louver on Facade </t>
    </r>
    <r>
      <rPr>
        <sz val="11"/>
        <color theme="1"/>
        <rFont val="Arial"/>
        <family val="2"/>
      </rPr>
      <t xml:space="preserve">with all necessary Structural Support as per Specifications &amp; arch drawings, design is upon shop drawings approval &amp; client approval.
</t>
    </r>
    <r>
      <rPr>
        <i/>
        <sz val="11"/>
        <color theme="8"/>
        <rFont val="Arial"/>
        <family val="2"/>
      </rPr>
      <t>Elevation Finish 07</t>
    </r>
  </si>
  <si>
    <r>
      <t xml:space="preserve">Supply &amp; fix  External </t>
    </r>
    <r>
      <rPr>
        <b/>
        <sz val="11"/>
        <color theme="1"/>
        <rFont val="Arial"/>
        <family val="2"/>
      </rPr>
      <t xml:space="preserve"> Natural Granite  Cladding (Prime Cost for </t>
    </r>
    <r>
      <rPr>
        <b/>
        <i/>
        <sz val="11"/>
        <color rgb="FF0070C0"/>
        <rFont val="Arial"/>
        <family val="2"/>
      </rPr>
      <t>Supply &amp; Fix</t>
    </r>
    <r>
      <rPr>
        <b/>
        <sz val="11"/>
        <color theme="1"/>
        <rFont val="Arial"/>
        <family val="2"/>
      </rPr>
      <t xml:space="preserve">  </t>
    </r>
    <r>
      <rPr>
        <b/>
        <sz val="11"/>
        <color rgb="FFFF0000"/>
        <rFont val="Arial"/>
        <family val="2"/>
      </rPr>
      <t>500</t>
    </r>
    <r>
      <rPr>
        <b/>
        <sz val="11"/>
        <color theme="1"/>
        <rFont val="Arial"/>
        <family val="2"/>
      </rPr>
      <t xml:space="preserve"> AED/m²)</t>
    </r>
    <r>
      <rPr>
        <sz val="11"/>
        <color theme="1"/>
        <rFont val="Arial"/>
        <family val="2"/>
      </rPr>
      <t>, as per Specifications,  Contractor rate to include all necessary works required   as per specifications, profession standards &amp; engineer approval.</t>
    </r>
  </si>
  <si>
    <t>EFS-14</t>
  </si>
  <si>
    <r>
      <t>Rev. T00 - Issued for Tender- 23</t>
    </r>
    <r>
      <rPr>
        <i/>
        <vertAlign val="superscript"/>
        <sz val="10"/>
        <color theme="1"/>
        <rFont val="Arial"/>
        <family val="2"/>
      </rPr>
      <t>rd</t>
    </r>
    <r>
      <rPr>
        <i/>
        <sz val="10"/>
        <color theme="1"/>
        <rFont val="Arial"/>
        <family val="2"/>
      </rPr>
      <t xml:space="preserve"> September 2024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</si>
</sst>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d/mmm/yy;@"/>
    <numFmt numFmtId="165" formatCode="0.0"/>
  </numFmts>
  <fonts count="64" x14ac:knownFonts="1">
    <font>
      <sz val="11"/>
      <color theme="1"/>
      <name val="Calibri"/>
      <family val="2"/>
      <scheme val="minor"/>
    </font>
    <font>
      <sz val="10"/>
      <color theme="1"/>
      <name val="Arial"/>
      <family val="2"/>
    </font>
    <font>
      <b/>
      <sz val="10"/>
      <color theme="1"/>
      <name val="Arial"/>
      <family val="2"/>
    </font>
    <font>
      <sz val="11"/>
      <color theme="1"/>
      <name val="Calibri"/>
      <family val="2"/>
      <scheme val="minor"/>
    </font>
    <font>
      <sz val="9.5"/>
      <color theme="1"/>
      <name val="Arial"/>
      <family val="2"/>
    </font>
    <font>
      <b/>
      <sz val="9"/>
      <color theme="1"/>
      <name val="Arial"/>
      <family val="2"/>
    </font>
    <font>
      <sz val="10"/>
      <name val="Arial"/>
      <family val="2"/>
    </font>
    <font>
      <sz val="10"/>
      <color theme="4" tint="-0.249977111117893"/>
      <name val="Arial"/>
      <family val="2"/>
    </font>
    <font>
      <sz val="10"/>
      <color theme="4"/>
      <name val="Arial"/>
      <family val="2"/>
    </font>
    <font>
      <sz val="8"/>
      <name val="Calibri"/>
      <family val="2"/>
      <scheme val="minor"/>
    </font>
    <font>
      <b/>
      <sz val="11"/>
      <color theme="1"/>
      <name val="Arial"/>
      <family val="2"/>
    </font>
    <font>
      <sz val="11"/>
      <color theme="1"/>
      <name val="Arial"/>
      <family val="2"/>
    </font>
    <font>
      <b/>
      <sz val="10"/>
      <name val="Arial"/>
      <family val="2"/>
    </font>
    <font>
      <vertAlign val="superscript"/>
      <sz val="11"/>
      <name val="Arial"/>
      <family val="2"/>
    </font>
    <font>
      <sz val="10"/>
      <color rgb="FF0070C0"/>
      <name val="Arial"/>
      <family val="2"/>
    </font>
    <font>
      <b/>
      <sz val="10"/>
      <color rgb="FF0070C0"/>
      <name val="Arial"/>
      <family val="2"/>
    </font>
    <font>
      <b/>
      <sz val="11"/>
      <color rgb="FF0070C0"/>
      <name val="Arial"/>
      <family val="2"/>
    </font>
    <font>
      <sz val="11"/>
      <color rgb="FF0070C0"/>
      <name val="Arial"/>
      <family val="2"/>
    </font>
    <font>
      <b/>
      <u/>
      <sz val="11"/>
      <color theme="1"/>
      <name val="Arial"/>
      <family val="2"/>
    </font>
    <font>
      <sz val="11"/>
      <color theme="4" tint="-0.249977111117893"/>
      <name val="Arial"/>
      <family val="2"/>
    </font>
    <font>
      <sz val="11"/>
      <name val="Arial"/>
      <family val="2"/>
    </font>
    <font>
      <b/>
      <sz val="11"/>
      <name val="Arial"/>
      <family val="2"/>
    </font>
    <font>
      <b/>
      <u/>
      <sz val="11"/>
      <name val="Arial"/>
      <family val="2"/>
    </font>
    <font>
      <b/>
      <sz val="11"/>
      <color theme="4"/>
      <name val="Arial"/>
      <family val="2"/>
    </font>
    <font>
      <sz val="11"/>
      <color theme="4"/>
      <name val="Arial"/>
      <family val="2"/>
    </font>
    <font>
      <sz val="11"/>
      <color rgb="FFFF0000"/>
      <name val="Arial"/>
      <family val="2"/>
    </font>
    <font>
      <b/>
      <sz val="11"/>
      <color rgb="FFFF0000"/>
      <name val="Arial"/>
      <family val="2"/>
    </font>
    <font>
      <b/>
      <sz val="11"/>
      <color indexed="30"/>
      <name val="Arial"/>
      <family val="2"/>
    </font>
    <font>
      <b/>
      <u/>
      <sz val="11"/>
      <color theme="4"/>
      <name val="Arial"/>
      <family val="2"/>
    </font>
    <font>
      <b/>
      <sz val="10"/>
      <color theme="4" tint="-0.249977111117893"/>
      <name val="Arial"/>
      <family val="2"/>
    </font>
    <font>
      <b/>
      <u/>
      <sz val="10"/>
      <color theme="4" tint="-0.249977111117893"/>
      <name val="Arial"/>
      <family val="2"/>
    </font>
    <font>
      <b/>
      <sz val="14"/>
      <color theme="1"/>
      <name val="Arial"/>
      <family val="2"/>
    </font>
    <font>
      <sz val="8"/>
      <color theme="1"/>
      <name val="Arial"/>
      <family val="2"/>
    </font>
    <font>
      <b/>
      <sz val="8"/>
      <color theme="1"/>
      <name val="Arial"/>
      <family val="2"/>
    </font>
    <font>
      <vertAlign val="superscript"/>
      <sz val="10"/>
      <color theme="4" tint="-0.249977111117893"/>
      <name val="Arial"/>
      <family val="2"/>
    </font>
    <font>
      <vertAlign val="superscript"/>
      <sz val="10"/>
      <name val="Arial"/>
      <family val="2"/>
    </font>
    <font>
      <sz val="10"/>
      <color rgb="FF000000"/>
      <name val="Arial"/>
      <family val="2"/>
    </font>
    <font>
      <vertAlign val="superscript"/>
      <sz val="10"/>
      <color theme="1"/>
      <name val="Arial"/>
      <family val="2"/>
    </font>
    <font>
      <vertAlign val="superscript"/>
      <sz val="10"/>
      <color rgb="FF0070C0"/>
      <name val="Arial"/>
      <family val="2"/>
    </font>
    <font>
      <vertAlign val="superscript"/>
      <sz val="10"/>
      <color theme="4"/>
      <name val="Arial"/>
      <family val="2"/>
    </font>
    <font>
      <b/>
      <sz val="10"/>
      <color rgb="FF000000"/>
      <name val="Arial"/>
      <family val="2"/>
    </font>
    <font>
      <sz val="9"/>
      <color theme="1"/>
      <name val="Arial"/>
      <family val="2"/>
    </font>
    <font>
      <vertAlign val="superscript"/>
      <sz val="11"/>
      <color theme="1"/>
      <name val="Arial"/>
      <family val="2"/>
    </font>
    <font>
      <sz val="10"/>
      <color rgb="FFFF0000"/>
      <name val="Arial"/>
      <family val="2"/>
    </font>
    <font>
      <b/>
      <sz val="12"/>
      <color theme="1"/>
      <name val="Arial"/>
      <family val="2"/>
    </font>
    <font>
      <b/>
      <u/>
      <sz val="12"/>
      <color theme="1"/>
      <name val="Arial"/>
      <family val="2"/>
    </font>
    <font>
      <b/>
      <sz val="11"/>
      <color theme="4" tint="-0.249977111117893"/>
      <name val="Arial"/>
      <family val="2"/>
    </font>
    <font>
      <b/>
      <i/>
      <sz val="11"/>
      <color theme="4" tint="-0.249977111117893"/>
      <name val="Arial"/>
      <family val="2"/>
    </font>
    <font>
      <b/>
      <i/>
      <sz val="11"/>
      <color rgb="FF0070C0"/>
      <name val="Arial"/>
      <family val="2"/>
    </font>
    <font>
      <b/>
      <vertAlign val="superscript"/>
      <sz val="11"/>
      <color theme="1"/>
      <name val="Arial"/>
      <family val="2"/>
    </font>
    <font>
      <b/>
      <sz val="11"/>
      <color theme="5" tint="-0.249977111117893"/>
      <name val="Arial"/>
      <family val="2"/>
    </font>
    <font>
      <b/>
      <i/>
      <sz val="10"/>
      <name val="Arial"/>
      <family val="2"/>
    </font>
    <font>
      <b/>
      <sz val="16"/>
      <color theme="1"/>
      <name val="Maiandra GD"/>
      <family val="2"/>
    </font>
    <font>
      <b/>
      <sz val="16"/>
      <color theme="1"/>
      <name val="Arial"/>
      <family val="2"/>
    </font>
    <font>
      <b/>
      <sz val="11"/>
      <color theme="1"/>
      <name val="Maiandra GD"/>
      <family val="2"/>
    </font>
    <font>
      <u/>
      <sz val="11"/>
      <color theme="1"/>
      <name val="Arial"/>
      <family val="2"/>
    </font>
    <font>
      <i/>
      <sz val="10"/>
      <color theme="1"/>
      <name val="Arial"/>
      <family val="2"/>
    </font>
    <font>
      <i/>
      <sz val="11"/>
      <color rgb="FF0070C0"/>
      <name val="Arial"/>
      <family val="2"/>
    </font>
    <font>
      <i/>
      <vertAlign val="superscript"/>
      <sz val="10"/>
      <color theme="1"/>
      <name val="Arial"/>
      <family val="2"/>
    </font>
    <font>
      <i/>
      <u/>
      <sz val="10"/>
      <name val="Arial"/>
      <family val="2"/>
    </font>
    <font>
      <b/>
      <sz val="9"/>
      <color rgb="FFFF0000"/>
      <name val="Arial"/>
      <family val="2"/>
    </font>
    <font>
      <i/>
      <sz val="10"/>
      <color rgb="FF000000"/>
      <name val="Arial"/>
      <family val="2"/>
    </font>
    <font>
      <i/>
      <sz val="11"/>
      <color theme="1"/>
      <name val="Arial"/>
      <family val="2"/>
    </font>
    <font>
      <i/>
      <sz val="11"/>
      <color theme="8"/>
      <name val="Arial"/>
      <family val="2"/>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3" fillId="0" borderId="0" applyFont="0" applyFill="0" applyBorder="0" applyAlignment="0" applyProtection="0"/>
    <xf numFmtId="164" fontId="3" fillId="0" borderId="0"/>
  </cellStyleXfs>
  <cellXfs count="218">
    <xf numFmtId="0" fontId="0" fillId="0" borderId="0" xfId="0"/>
    <xf numFmtId="0" fontId="1" fillId="0" borderId="1" xfId="0" applyFont="1" applyBorder="1" applyAlignment="1">
      <alignment horizontal="justify" vertical="center" wrapText="1"/>
    </xf>
    <xf numFmtId="0" fontId="1" fillId="0" borderId="1" xfId="0" applyFont="1" applyBorder="1" applyAlignment="1">
      <alignment horizontal="center" vertical="center" wrapText="1"/>
    </xf>
    <xf numFmtId="3" fontId="2" fillId="0" borderId="1" xfId="1" applyNumberFormat="1" applyFont="1" applyFill="1" applyBorder="1" applyAlignment="1" applyProtection="1">
      <alignment horizontal="center" vertical="center" wrapText="1"/>
    </xf>
    <xf numFmtId="3" fontId="2" fillId="0" borderId="1" xfId="0" applyNumberFormat="1" applyFont="1" applyBorder="1" applyAlignment="1" applyProtection="1">
      <alignment horizontal="center" vertical="center" wrapText="1"/>
      <protection locked="0"/>
    </xf>
    <xf numFmtId="3" fontId="2" fillId="0" borderId="1" xfId="1" applyNumberFormat="1" applyFont="1" applyBorder="1" applyAlignment="1" applyProtection="1">
      <alignment horizontal="center" vertical="center" wrapText="1"/>
      <protection locked="0"/>
    </xf>
    <xf numFmtId="3" fontId="2" fillId="0" borderId="1" xfId="0" applyNumberFormat="1" applyFont="1" applyBorder="1" applyAlignment="1" applyProtection="1">
      <alignment horizontal="center" vertical="center"/>
      <protection locked="0"/>
    </xf>
    <xf numFmtId="0" fontId="8" fillId="0" borderId="1" xfId="0" applyFont="1" applyBorder="1" applyAlignment="1">
      <alignment horizontal="center" vertical="center" wrapText="1"/>
    </xf>
    <xf numFmtId="0" fontId="2" fillId="0" borderId="0" xfId="0" applyFont="1" applyAlignment="1">
      <alignment horizontal="center" vertical="center" wrapText="1"/>
    </xf>
    <xf numFmtId="3" fontId="10" fillId="0" borderId="1" xfId="0" applyNumberFormat="1" applyFont="1" applyBorder="1" applyAlignment="1" applyProtection="1">
      <alignment horizontal="center" vertical="center"/>
      <protection locked="0"/>
    </xf>
    <xf numFmtId="0" fontId="11" fillId="0" borderId="0" xfId="0" applyFont="1" applyAlignment="1">
      <alignment wrapText="1"/>
    </xf>
    <xf numFmtId="0" fontId="2" fillId="2" borderId="1" xfId="0" applyFont="1" applyFill="1" applyBorder="1" applyAlignment="1">
      <alignment vertical="center"/>
    </xf>
    <xf numFmtId="3" fontId="2" fillId="2" borderId="1" xfId="0" applyNumberFormat="1" applyFont="1" applyFill="1" applyBorder="1" applyAlignment="1" applyProtection="1">
      <alignment vertical="center"/>
      <protection locked="0"/>
    </xf>
    <xf numFmtId="0" fontId="1" fillId="0" borderId="0" xfId="0" applyFont="1" applyAlignment="1">
      <alignment wrapText="1"/>
    </xf>
    <xf numFmtId="3" fontId="2" fillId="0" borderId="1" xfId="1" applyNumberFormat="1" applyFont="1" applyBorder="1" applyAlignment="1" applyProtection="1">
      <alignment horizontal="center" vertical="center" wrapText="1"/>
    </xf>
    <xf numFmtId="3" fontId="5" fillId="0" borderId="1" xfId="0" applyNumberFormat="1" applyFont="1" applyBorder="1" applyAlignment="1" applyProtection="1">
      <alignment horizontal="center" vertical="center"/>
      <protection locked="0"/>
    </xf>
    <xf numFmtId="3" fontId="10" fillId="0" borderId="1" xfId="1" applyNumberFormat="1" applyFont="1" applyBorder="1" applyAlignment="1" applyProtection="1">
      <alignment horizontal="center" vertical="center" wrapText="1"/>
      <protection locked="0"/>
    </xf>
    <xf numFmtId="0" fontId="11" fillId="0" borderId="0" xfId="0" applyFont="1" applyAlignment="1" applyProtection="1">
      <alignment wrapText="1"/>
      <protection locked="0"/>
    </xf>
    <xf numFmtId="0" fontId="2" fillId="2" borderId="1" xfId="0" applyFont="1" applyFill="1" applyBorder="1" applyAlignment="1">
      <alignment vertical="center" wrapText="1"/>
    </xf>
    <xf numFmtId="0" fontId="2" fillId="2" borderId="1" xfId="0" applyFont="1" applyFill="1" applyBorder="1" applyAlignment="1" applyProtection="1">
      <alignment vertical="center" wrapText="1"/>
      <protection locked="0"/>
    </xf>
    <xf numFmtId="0" fontId="2" fillId="2" borderId="1" xfId="0" applyFont="1" applyFill="1" applyBorder="1" applyAlignment="1" applyProtection="1">
      <alignment vertical="center"/>
      <protection locked="0"/>
    </xf>
    <xf numFmtId="0" fontId="2" fillId="0" borderId="1" xfId="0" applyFont="1" applyBorder="1" applyAlignment="1">
      <alignment horizontal="center" vertical="center" wrapText="1"/>
    </xf>
    <xf numFmtId="0" fontId="11" fillId="0" borderId="0" xfId="0" applyFont="1" applyAlignment="1">
      <alignment horizontal="center" wrapText="1"/>
    </xf>
    <xf numFmtId="0" fontId="2" fillId="0" borderId="0" xfId="0" applyFont="1" applyAlignment="1" applyProtection="1">
      <alignment horizontal="center" vertical="center" wrapText="1"/>
      <protection locked="0"/>
    </xf>
    <xf numFmtId="0" fontId="11" fillId="0" borderId="1" xfId="0" applyFont="1" applyBorder="1" applyAlignment="1">
      <alignment horizontal="center" vertical="center"/>
    </xf>
    <xf numFmtId="0" fontId="11" fillId="5" borderId="0" xfId="0" applyFont="1" applyFill="1" applyAlignment="1" applyProtection="1">
      <alignment wrapText="1"/>
      <protection locked="0"/>
    </xf>
    <xf numFmtId="0" fontId="1" fillId="0" borderId="1" xfId="0" applyFont="1" applyBorder="1" applyAlignment="1">
      <alignment horizontal="center" vertical="center"/>
    </xf>
    <xf numFmtId="0" fontId="11" fillId="3" borderId="0" xfId="0" applyFont="1" applyFill="1" applyAlignment="1">
      <alignment wrapText="1"/>
    </xf>
    <xf numFmtId="3" fontId="11" fillId="0" borderId="0" xfId="0" applyNumberFormat="1" applyFont="1" applyAlignment="1">
      <alignment horizontal="center" wrapText="1"/>
    </xf>
    <xf numFmtId="3" fontId="10" fillId="0" borderId="0" xfId="0" applyNumberFormat="1" applyFont="1" applyAlignment="1" applyProtection="1">
      <alignment horizontal="center" wrapText="1"/>
      <protection locked="0"/>
    </xf>
    <xf numFmtId="0" fontId="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7" fillId="0" borderId="1" xfId="0" applyFont="1" applyBorder="1" applyAlignment="1">
      <alignment horizontal="center" vertical="center" wrapText="1"/>
    </xf>
    <xf numFmtId="3" fontId="15" fillId="0" borderId="1" xfId="1" applyNumberFormat="1" applyFont="1" applyBorder="1" applyAlignment="1" applyProtection="1">
      <alignment horizontal="center" vertical="center" wrapText="1"/>
      <protection locked="0"/>
    </xf>
    <xf numFmtId="2" fontId="10"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16" fillId="0" borderId="0" xfId="0" applyFont="1" applyAlignment="1">
      <alignment vertical="center"/>
    </xf>
    <xf numFmtId="0" fontId="18" fillId="0" borderId="1" xfId="0" applyFont="1" applyBorder="1" applyAlignment="1">
      <alignment horizontal="justify" vertical="center" wrapText="1"/>
    </xf>
    <xf numFmtId="0" fontId="19" fillId="0" borderId="1" xfId="0" applyFont="1" applyBorder="1" applyAlignment="1">
      <alignment horizontal="center" vertical="center" wrapText="1"/>
    </xf>
    <xf numFmtId="0" fontId="19" fillId="0" borderId="1" xfId="0" applyFont="1" applyBorder="1" applyAlignment="1">
      <alignment horizontal="justify" vertical="center" wrapText="1"/>
    </xf>
    <xf numFmtId="0" fontId="20" fillId="0" borderId="1" xfId="0" applyFont="1" applyBorder="1" applyAlignment="1">
      <alignment horizontal="center" vertical="center" wrapText="1"/>
    </xf>
    <xf numFmtId="0" fontId="16" fillId="6" borderId="0" xfId="0" applyFont="1" applyFill="1" applyAlignment="1">
      <alignment vertical="center"/>
    </xf>
    <xf numFmtId="0" fontId="11" fillId="6" borderId="0" xfId="0" applyFont="1" applyFill="1" applyAlignment="1">
      <alignment wrapText="1"/>
    </xf>
    <xf numFmtId="2" fontId="21" fillId="0" borderId="1" xfId="0" applyNumberFormat="1" applyFont="1" applyBorder="1" applyAlignment="1">
      <alignment horizontal="center" vertical="center" wrapText="1"/>
    </xf>
    <xf numFmtId="0" fontId="21" fillId="0" borderId="1" xfId="0" applyFont="1" applyBorder="1" applyAlignment="1">
      <alignment horizontal="justify" vertical="center" wrapText="1"/>
    </xf>
    <xf numFmtId="0" fontId="20" fillId="0" borderId="1" xfId="0" applyFont="1" applyBorder="1" applyAlignment="1">
      <alignment horizontal="justify" vertical="center" wrapText="1"/>
    </xf>
    <xf numFmtId="0" fontId="16" fillId="0" borderId="0" xfId="0" applyFont="1" applyAlignment="1" applyProtection="1">
      <alignment vertical="center"/>
      <protection locked="0"/>
    </xf>
    <xf numFmtId="0" fontId="17" fillId="0" borderId="1" xfId="0" applyFont="1" applyBorder="1" applyAlignment="1">
      <alignment horizontal="justify" vertical="center" wrapText="1"/>
    </xf>
    <xf numFmtId="0" fontId="22" fillId="0" borderId="1" xfId="0" applyFont="1" applyBorder="1" applyAlignment="1">
      <alignment horizontal="justify" vertical="center" wrapText="1"/>
    </xf>
    <xf numFmtId="0" fontId="11" fillId="0" borderId="1" xfId="0" applyFont="1" applyBorder="1" applyAlignment="1">
      <alignment horizontal="justify" vertical="center" wrapText="1"/>
    </xf>
    <xf numFmtId="3" fontId="10" fillId="0" borderId="1" xfId="1" applyNumberFormat="1" applyFont="1" applyFill="1" applyBorder="1" applyAlignment="1" applyProtection="1">
      <alignment horizontal="center" vertical="center" wrapText="1"/>
      <protection locked="0"/>
    </xf>
    <xf numFmtId="0" fontId="10" fillId="0" borderId="1" xfId="0" applyFont="1" applyBorder="1" applyAlignment="1">
      <alignment horizontal="center" vertical="center" wrapText="1"/>
    </xf>
    <xf numFmtId="3" fontId="21" fillId="0" borderId="1" xfId="0" applyNumberFormat="1" applyFont="1" applyBorder="1" applyAlignment="1" applyProtection="1">
      <alignment horizontal="center" vertical="center"/>
      <protection locked="0"/>
    </xf>
    <xf numFmtId="0" fontId="11" fillId="0" borderId="0" xfId="0" applyFont="1" applyAlignment="1">
      <alignment horizontal="center" vertical="center"/>
    </xf>
    <xf numFmtId="0" fontId="11" fillId="0" borderId="0" xfId="0" applyFont="1"/>
    <xf numFmtId="0" fontId="23" fillId="0" borderId="0" xfId="0" applyFont="1" applyAlignment="1">
      <alignment vertical="center"/>
    </xf>
    <xf numFmtId="0" fontId="24" fillId="0" borderId="0" xfId="0" applyFont="1" applyAlignment="1">
      <alignment wrapText="1"/>
    </xf>
    <xf numFmtId="0" fontId="25" fillId="0" borderId="0" xfId="0" applyFont="1" applyAlignment="1">
      <alignment wrapText="1"/>
    </xf>
    <xf numFmtId="0" fontId="16"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xf>
    <xf numFmtId="3" fontId="23" fillId="0" borderId="1" xfId="1" applyNumberFormat="1" applyFont="1" applyFill="1" applyBorder="1" applyAlignment="1" applyProtection="1">
      <alignment horizontal="center" vertical="center" wrapText="1"/>
      <protection locked="0"/>
    </xf>
    <xf numFmtId="0" fontId="26" fillId="0" borderId="0" xfId="0" applyFont="1" applyAlignment="1">
      <alignment horizontal="center" vertical="center"/>
    </xf>
    <xf numFmtId="0" fontId="24" fillId="0" borderId="1" xfId="0" applyFont="1" applyBorder="1" applyAlignment="1">
      <alignment horizontal="center" vertical="center" wrapText="1"/>
    </xf>
    <xf numFmtId="0" fontId="26" fillId="5" borderId="0" xfId="0" applyFont="1" applyFill="1" applyAlignment="1">
      <alignment horizontal="center" vertical="center"/>
    </xf>
    <xf numFmtId="0" fontId="10" fillId="5" borderId="0" xfId="0" applyFont="1" applyFill="1" applyAlignment="1">
      <alignment horizontal="center" vertical="center" wrapText="1"/>
    </xf>
    <xf numFmtId="0" fontId="11" fillId="5" borderId="0" xfId="0" applyFont="1" applyFill="1" applyAlignment="1">
      <alignment wrapText="1"/>
    </xf>
    <xf numFmtId="165" fontId="10" fillId="0" borderId="1" xfId="0" applyNumberFormat="1" applyFont="1" applyBorder="1" applyAlignment="1">
      <alignment horizontal="center" vertical="center" wrapText="1"/>
    </xf>
    <xf numFmtId="0" fontId="16" fillId="6" borderId="0" xfId="0" applyFont="1" applyFill="1" applyAlignment="1">
      <alignment horizontal="center" vertical="center"/>
    </xf>
    <xf numFmtId="0" fontId="10" fillId="6" borderId="0" xfId="0" applyFont="1" applyFill="1" applyAlignment="1">
      <alignment horizontal="center" vertical="center" wrapText="1"/>
    </xf>
    <xf numFmtId="0" fontId="16" fillId="0" borderId="0" xfId="0" applyFont="1" applyAlignment="1" applyProtection="1">
      <alignment horizontal="center" vertical="center"/>
      <protection locked="0"/>
    </xf>
    <xf numFmtId="0" fontId="10" fillId="0" borderId="0" xfId="0" applyFont="1" applyAlignment="1" applyProtection="1">
      <alignment horizontal="center" vertical="center" wrapText="1"/>
      <protection locked="0"/>
    </xf>
    <xf numFmtId="0" fontId="27" fillId="6" borderId="0" xfId="0" applyFont="1" applyFill="1" applyAlignment="1">
      <alignment horizontal="left" vertical="center"/>
    </xf>
    <xf numFmtId="2" fontId="10" fillId="0" borderId="1" xfId="0" applyNumberFormat="1" applyFont="1" applyBorder="1" applyAlignment="1">
      <alignment horizontal="center" vertical="center"/>
    </xf>
    <xf numFmtId="0" fontId="27" fillId="0" borderId="0" xfId="0" applyFont="1" applyAlignment="1">
      <alignment horizontal="left" vertical="center"/>
    </xf>
    <xf numFmtId="0" fontId="20" fillId="0" borderId="1" xfId="0" applyFont="1" applyBorder="1" applyAlignment="1">
      <alignment horizontal="center" vertical="center"/>
    </xf>
    <xf numFmtId="2" fontId="21" fillId="0" borderId="1" xfId="0" applyNumberFormat="1" applyFont="1" applyBorder="1" applyAlignment="1">
      <alignment horizontal="center" vertical="center"/>
    </xf>
    <xf numFmtId="0" fontId="27" fillId="0" borderId="0" xfId="0" applyFont="1" applyAlignment="1" applyProtection="1">
      <alignment horizontal="left" vertical="center"/>
      <protection locked="0"/>
    </xf>
    <xf numFmtId="0" fontId="27" fillId="0" borderId="4" xfId="0" applyFont="1" applyBorder="1" applyAlignment="1" applyProtection="1">
      <alignment horizontal="left" vertical="center"/>
      <protection locked="0"/>
    </xf>
    <xf numFmtId="3" fontId="10" fillId="0" borderId="1" xfId="0" applyNumberFormat="1" applyFont="1" applyBorder="1" applyAlignment="1" applyProtection="1">
      <alignment horizontal="center" vertical="center" wrapText="1"/>
      <protection locked="0"/>
    </xf>
    <xf numFmtId="9" fontId="28" fillId="0" borderId="1" xfId="0" applyNumberFormat="1" applyFont="1" applyBorder="1" applyAlignment="1" applyProtection="1">
      <alignment horizontal="center" vertical="center"/>
      <protection locked="0"/>
    </xf>
    <xf numFmtId="0" fontId="27" fillId="6" borderId="0" xfId="0" applyFont="1" applyFill="1" applyAlignment="1" applyProtection="1">
      <alignment horizontal="left" vertical="center"/>
      <protection locked="0"/>
    </xf>
    <xf numFmtId="0" fontId="11" fillId="6" borderId="0" xfId="0" applyFont="1" applyFill="1" applyAlignment="1" applyProtection="1">
      <alignment wrapText="1"/>
      <protection locked="0"/>
    </xf>
    <xf numFmtId="0" fontId="10" fillId="0" borderId="1" xfId="0" applyFont="1" applyBorder="1" applyAlignment="1">
      <alignment vertical="center"/>
    </xf>
    <xf numFmtId="3" fontId="11" fillId="0" borderId="1" xfId="0" applyNumberFormat="1" applyFont="1" applyBorder="1" applyAlignment="1" applyProtection="1">
      <alignment horizontal="center" vertical="center"/>
      <protection locked="0"/>
    </xf>
    <xf numFmtId="4" fontId="21" fillId="0" borderId="1" xfId="0" applyNumberFormat="1" applyFont="1" applyBorder="1" applyAlignment="1" applyProtection="1">
      <alignment horizontal="center" vertical="center"/>
      <protection locked="0"/>
    </xf>
    <xf numFmtId="0" fontId="10" fillId="0" borderId="1" xfId="0" applyFont="1" applyBorder="1" applyAlignment="1">
      <alignment horizontal="center" vertical="center"/>
    </xf>
    <xf numFmtId="3" fontId="2" fillId="0" borderId="1" xfId="1" applyNumberFormat="1" applyFont="1" applyFill="1" applyBorder="1" applyAlignment="1" applyProtection="1">
      <alignment horizontal="center" vertical="center" wrapText="1"/>
      <protection locked="0"/>
    </xf>
    <xf numFmtId="37" fontId="1" fillId="0" borderId="1" xfId="1" applyNumberFormat="1" applyFont="1" applyFill="1" applyBorder="1" applyAlignment="1" applyProtection="1">
      <alignment horizontal="center" vertical="center" wrapText="1"/>
    </xf>
    <xf numFmtId="37" fontId="14" fillId="0" borderId="1" xfId="1" applyNumberFormat="1" applyFont="1" applyFill="1" applyBorder="1" applyAlignment="1" applyProtection="1">
      <alignment horizontal="center" vertical="center" wrapText="1"/>
    </xf>
    <xf numFmtId="3" fontId="15" fillId="0" borderId="1" xfId="1" applyNumberFormat="1" applyFont="1" applyFill="1" applyBorder="1" applyAlignment="1" applyProtection="1">
      <alignment horizontal="center" vertical="center" wrapText="1"/>
      <protection locked="0"/>
    </xf>
    <xf numFmtId="37" fontId="6" fillId="0" borderId="1" xfId="1" applyNumberFormat="1" applyFont="1" applyFill="1" applyBorder="1" applyAlignment="1" applyProtection="1">
      <alignment horizontal="center" vertical="center" wrapText="1"/>
    </xf>
    <xf numFmtId="0" fontId="7" fillId="0" borderId="1" xfId="0" applyFont="1" applyBorder="1" applyAlignment="1">
      <alignment horizontal="center" vertical="center" wrapText="1"/>
    </xf>
    <xf numFmtId="0" fontId="10" fillId="2" borderId="1" xfId="0" applyFont="1" applyFill="1" applyBorder="1" applyAlignment="1">
      <alignment vertical="center"/>
    </xf>
    <xf numFmtId="0" fontId="11" fillId="2" borderId="1" xfId="0" applyFont="1" applyFill="1" applyBorder="1" applyAlignment="1">
      <alignment vertical="center"/>
    </xf>
    <xf numFmtId="3" fontId="10" fillId="2" borderId="1" xfId="0" applyNumberFormat="1" applyFont="1" applyFill="1" applyBorder="1" applyAlignment="1" applyProtection="1">
      <alignment vertical="center"/>
      <protection locked="0"/>
    </xf>
    <xf numFmtId="0" fontId="11" fillId="2" borderId="1" xfId="0" applyFont="1" applyFill="1" applyBorder="1" applyAlignment="1">
      <alignment vertical="center" wrapText="1"/>
    </xf>
    <xf numFmtId="0" fontId="10" fillId="2" borderId="1" xfId="0" applyFont="1" applyFill="1" applyBorder="1" applyAlignment="1" applyProtection="1">
      <alignment vertical="center" wrapText="1"/>
      <protection locked="0"/>
    </xf>
    <xf numFmtId="3" fontId="10" fillId="2" borderId="1" xfId="0" applyNumberFormat="1" applyFont="1" applyFill="1" applyBorder="1" applyAlignment="1" applyProtection="1">
      <alignment horizontal="center" vertical="center" wrapText="1"/>
      <protection locked="0"/>
    </xf>
    <xf numFmtId="0" fontId="7" fillId="0" borderId="1" xfId="0" applyFont="1" applyBorder="1" applyAlignment="1">
      <alignment horizontal="justify" vertical="center" wrapText="1"/>
    </xf>
    <xf numFmtId="3" fontId="12" fillId="0" borderId="1" xfId="1" applyNumberFormat="1" applyFont="1" applyFill="1" applyBorder="1" applyAlignment="1" applyProtection="1">
      <alignment horizontal="center" vertical="center" wrapText="1"/>
      <protection locked="0"/>
    </xf>
    <xf numFmtId="3" fontId="29" fillId="0" borderId="1" xfId="1" applyNumberFormat="1" applyFont="1" applyFill="1" applyBorder="1" applyAlignment="1" applyProtection="1">
      <alignment horizontal="center" vertical="center" wrapText="1"/>
    </xf>
    <xf numFmtId="9" fontId="29" fillId="0" borderId="1" xfId="0" applyNumberFormat="1" applyFont="1" applyBorder="1" applyAlignment="1" applyProtection="1">
      <alignment horizontal="center" vertical="center"/>
      <protection locked="0"/>
    </xf>
    <xf numFmtId="3" fontId="29" fillId="0" borderId="1" xfId="0" applyNumberFormat="1" applyFont="1" applyBorder="1" applyAlignment="1" applyProtection="1">
      <alignment horizontal="center" vertical="center"/>
      <protection locked="0"/>
    </xf>
    <xf numFmtId="9" fontId="30" fillId="0" borderId="1" xfId="0" applyNumberFormat="1" applyFont="1" applyBorder="1" applyAlignment="1" applyProtection="1">
      <alignment horizontal="center" vertical="center"/>
      <protection locked="0"/>
    </xf>
    <xf numFmtId="0" fontId="11" fillId="0" borderId="0" xfId="0" applyFont="1" applyAlignment="1">
      <alignment horizontal="center"/>
    </xf>
    <xf numFmtId="3" fontId="11" fillId="0" borderId="0" xfId="0" applyNumberFormat="1" applyFont="1" applyAlignment="1">
      <alignment horizontal="center" vertical="center"/>
    </xf>
    <xf numFmtId="0" fontId="31" fillId="0" borderId="0" xfId="0" applyFont="1" applyAlignment="1">
      <alignment vertical="center"/>
    </xf>
    <xf numFmtId="0" fontId="14"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1" fillId="0" borderId="0" xfId="0" applyFont="1" applyAlignment="1" applyProtection="1">
      <alignment wrapText="1"/>
      <protection locked="0"/>
    </xf>
    <xf numFmtId="0" fontId="18" fillId="0" borderId="0" xfId="0" applyFont="1" applyAlignment="1">
      <alignment horizontal="justify" wrapText="1"/>
    </xf>
    <xf numFmtId="0" fontId="10" fillId="0" borderId="0" xfId="0" applyFont="1" applyAlignment="1">
      <alignment horizontal="justify" wrapText="1"/>
    </xf>
    <xf numFmtId="0" fontId="10" fillId="0" borderId="0" xfId="0" applyFont="1" applyAlignment="1">
      <alignment horizontal="justify" vertical="center" wrapText="1"/>
    </xf>
    <xf numFmtId="0" fontId="10" fillId="0" borderId="1" xfId="0" applyFont="1" applyBorder="1" applyAlignment="1">
      <alignment horizontal="justify" vertical="center" wrapText="1"/>
    </xf>
    <xf numFmtId="3" fontId="12" fillId="0" borderId="1" xfId="1" applyNumberFormat="1" applyFont="1" applyBorder="1" applyAlignment="1" applyProtection="1">
      <alignment horizontal="center" vertical="center" wrapText="1"/>
    </xf>
    <xf numFmtId="3" fontId="12" fillId="0" borderId="1" xfId="0" applyNumberFormat="1" applyFont="1" applyBorder="1" applyAlignment="1" applyProtection="1">
      <alignment horizontal="center" vertical="center"/>
      <protection locked="0"/>
    </xf>
    <xf numFmtId="0" fontId="20" fillId="0" borderId="0" xfId="0" applyFont="1" applyAlignment="1">
      <alignment wrapText="1"/>
    </xf>
    <xf numFmtId="0" fontId="32" fillId="0" borderId="1" xfId="0" applyFont="1" applyBorder="1" applyAlignment="1">
      <alignment horizontal="justify" vertical="justify" wrapText="1"/>
    </xf>
    <xf numFmtId="0" fontId="1" fillId="0" borderId="1" xfId="0" applyFont="1" applyBorder="1" applyAlignment="1">
      <alignment horizontal="justify" vertical="justify" wrapText="1"/>
    </xf>
    <xf numFmtId="0" fontId="6" fillId="0" borderId="1" xfId="0" applyFont="1" applyBorder="1" applyAlignment="1">
      <alignment horizontal="justify" vertical="justify" wrapText="1"/>
    </xf>
    <xf numFmtId="0" fontId="7" fillId="0" borderId="1" xfId="0" applyFont="1" applyBorder="1" applyAlignment="1">
      <alignment horizontal="justify" vertical="justify" wrapText="1"/>
    </xf>
    <xf numFmtId="0" fontId="11" fillId="0" borderId="0" xfId="0" applyFont="1" applyAlignment="1">
      <alignment vertical="justify" wrapText="1"/>
    </xf>
    <xf numFmtId="0" fontId="10" fillId="2" borderId="1" xfId="0" applyFont="1" applyFill="1" applyBorder="1" applyAlignment="1">
      <alignment horizontal="justify" vertical="center"/>
    </xf>
    <xf numFmtId="0" fontId="2" fillId="2" borderId="1" xfId="0" applyFont="1" applyFill="1" applyBorder="1" applyAlignment="1">
      <alignment horizontal="justify" vertical="center"/>
    </xf>
    <xf numFmtId="0" fontId="2" fillId="2" borderId="1" xfId="0" applyFont="1" applyFill="1" applyBorder="1" applyAlignment="1">
      <alignment horizontal="justify" vertical="center" wrapText="1"/>
    </xf>
    <xf numFmtId="0" fontId="24" fillId="0" borderId="1" xfId="0" applyFont="1" applyBorder="1" applyAlignment="1">
      <alignment horizontal="justify" vertical="center" wrapText="1"/>
    </xf>
    <xf numFmtId="0" fontId="11" fillId="0" borderId="0" xfId="0" applyFont="1" applyAlignment="1">
      <alignment horizontal="justify" wrapText="1"/>
    </xf>
    <xf numFmtId="0" fontId="11" fillId="0" borderId="0" xfId="0" applyFont="1" applyAlignment="1" applyProtection="1">
      <alignment vertical="center" wrapText="1"/>
      <protection locked="0"/>
    </xf>
    <xf numFmtId="0" fontId="11" fillId="0" borderId="0" xfId="0" applyFont="1" applyAlignment="1">
      <alignment vertical="center" wrapText="1"/>
    </xf>
    <xf numFmtId="0" fontId="2" fillId="0" borderId="1" xfId="0" applyFont="1" applyBorder="1" applyAlignment="1">
      <alignment horizontal="justify" vertical="center" wrapText="1"/>
    </xf>
    <xf numFmtId="3" fontId="7" fillId="0" borderId="1" xfId="0" applyNumberFormat="1" applyFont="1" applyBorder="1" applyAlignment="1" applyProtection="1">
      <alignment horizontal="center" vertical="center"/>
      <protection locked="0"/>
    </xf>
    <xf numFmtId="3" fontId="7" fillId="0" borderId="1" xfId="1" applyNumberFormat="1" applyFont="1" applyBorder="1" applyAlignment="1" applyProtection="1">
      <alignment horizontal="center" vertical="center" wrapText="1"/>
      <protection locked="0"/>
    </xf>
    <xf numFmtId="0" fontId="1" fillId="0" borderId="1" xfId="0" applyFont="1" applyBorder="1" applyAlignment="1">
      <alignment vertical="center" wrapText="1"/>
    </xf>
    <xf numFmtId="0" fontId="1" fillId="0" borderId="1" xfId="0" applyFont="1" applyBorder="1" applyAlignment="1">
      <alignment horizontal="left" vertical="center" wrapText="1"/>
    </xf>
    <xf numFmtId="3" fontId="2" fillId="2" borderId="1" xfId="0" applyNumberFormat="1" applyFont="1" applyFill="1" applyBorder="1" applyAlignment="1" applyProtection="1">
      <alignment horizontal="center" vertical="center"/>
      <protection locked="0"/>
    </xf>
    <xf numFmtId="3" fontId="2" fillId="2" borderId="1" xfId="0" applyNumberFormat="1" applyFont="1" applyFill="1" applyBorder="1" applyAlignment="1" applyProtection="1">
      <alignment horizontal="center" vertical="center" wrapText="1"/>
      <protection locked="0"/>
    </xf>
    <xf numFmtId="3" fontId="12" fillId="2" borderId="1" xfId="0" applyNumberFormat="1" applyFont="1" applyFill="1" applyBorder="1" applyAlignment="1" applyProtection="1">
      <alignment horizontal="center" vertical="center"/>
      <protection locked="0"/>
    </xf>
    <xf numFmtId="3" fontId="12" fillId="2" borderId="1" xfId="0" applyNumberFormat="1" applyFont="1" applyFill="1" applyBorder="1" applyAlignment="1" applyProtection="1">
      <alignment horizontal="center" vertical="center" wrapText="1"/>
      <protection locked="0"/>
    </xf>
    <xf numFmtId="3" fontId="10" fillId="2" borderId="1" xfId="0" applyNumberFormat="1" applyFont="1" applyFill="1" applyBorder="1" applyAlignment="1" applyProtection="1">
      <alignment horizontal="center" vertical="center"/>
      <protection locked="0"/>
    </xf>
    <xf numFmtId="3" fontId="2" fillId="2" borderId="1" xfId="0" applyNumberFormat="1" applyFont="1" applyFill="1" applyBorder="1" applyAlignment="1" applyProtection="1">
      <alignment vertical="center" wrapText="1"/>
      <protection locked="0"/>
    </xf>
    <xf numFmtId="3" fontId="11" fillId="2" borderId="1" xfId="0" applyNumberFormat="1" applyFont="1" applyFill="1" applyBorder="1" applyAlignment="1" applyProtection="1">
      <alignment wrapText="1"/>
      <protection locked="0"/>
    </xf>
    <xf numFmtId="0" fontId="5" fillId="2" borderId="1" xfId="0" applyFont="1" applyFill="1" applyBorder="1" applyAlignment="1">
      <alignment vertical="center"/>
    </xf>
    <xf numFmtId="0" fontId="5" fillId="2" borderId="1" xfId="0" applyFont="1" applyFill="1" applyBorder="1" applyAlignment="1" applyProtection="1">
      <alignment vertical="center"/>
      <protection locked="0"/>
    </xf>
    <xf numFmtId="2" fontId="2" fillId="0" borderId="1" xfId="0" applyNumberFormat="1" applyFont="1" applyBorder="1" applyAlignment="1">
      <alignment horizontal="center" vertical="center" wrapText="1"/>
    </xf>
    <xf numFmtId="0" fontId="10" fillId="2" borderId="1" xfId="0" applyFont="1" applyFill="1" applyBorder="1" applyAlignment="1">
      <alignment vertical="center" wrapText="1"/>
    </xf>
    <xf numFmtId="2" fontId="29" fillId="0" borderId="1" xfId="0" applyNumberFormat="1" applyFont="1" applyBorder="1" applyAlignment="1">
      <alignment horizontal="center" vertical="center" wrapText="1"/>
    </xf>
    <xf numFmtId="2" fontId="15"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12" fillId="0" borderId="1" xfId="0" applyFont="1" applyBorder="1" applyAlignment="1">
      <alignment horizontal="center" vertical="center" wrapText="1"/>
    </xf>
    <xf numFmtId="2" fontId="46" fillId="0" borderId="1" xfId="0" applyNumberFormat="1" applyFont="1" applyBorder="1" applyAlignment="1">
      <alignment horizontal="center" vertical="center" wrapText="1"/>
    </xf>
    <xf numFmtId="0" fontId="46" fillId="0" borderId="1" xfId="0" applyFont="1" applyBorder="1" applyAlignment="1">
      <alignment horizontal="center" vertical="center" wrapText="1"/>
    </xf>
    <xf numFmtId="0" fontId="21" fillId="0" borderId="1" xfId="0" applyFont="1" applyBorder="1" applyAlignment="1">
      <alignment horizontal="center" vertical="center" wrapText="1"/>
    </xf>
    <xf numFmtId="2" fontId="16"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2" fontId="12" fillId="0" borderId="1" xfId="0" applyNumberFormat="1" applyFont="1" applyBorder="1" applyAlignment="1">
      <alignment horizontal="center" vertical="center" wrapText="1"/>
    </xf>
    <xf numFmtId="0" fontId="10" fillId="0" borderId="0" xfId="0" applyFont="1" applyAlignment="1">
      <alignment wrapText="1"/>
    </xf>
    <xf numFmtId="3" fontId="15" fillId="0" borderId="1" xfId="0" applyNumberFormat="1" applyFont="1" applyBorder="1" applyAlignment="1" applyProtection="1">
      <alignment horizontal="center" vertical="center"/>
      <protection locked="0"/>
    </xf>
    <xf numFmtId="0" fontId="10" fillId="0" borderId="1" xfId="0" applyFont="1" applyBorder="1" applyAlignment="1">
      <alignment horizontal="center"/>
    </xf>
    <xf numFmtId="0" fontId="10" fillId="0" borderId="1" xfId="0" applyFont="1" applyBorder="1" applyAlignment="1">
      <alignment horizontal="center" wrapText="1"/>
    </xf>
    <xf numFmtId="0" fontId="11" fillId="0" borderId="1" xfId="0" applyFont="1" applyBorder="1" applyAlignment="1">
      <alignment horizontal="center" wrapText="1"/>
    </xf>
    <xf numFmtId="0" fontId="11" fillId="3" borderId="1" xfId="0" applyFont="1" applyFill="1" applyBorder="1" applyAlignment="1">
      <alignment horizontal="center" vertical="center" wrapText="1"/>
    </xf>
    <xf numFmtId="0" fontId="18" fillId="0" borderId="1" xfId="0" applyFont="1" applyBorder="1" applyAlignment="1">
      <alignment wrapText="1"/>
    </xf>
    <xf numFmtId="0" fontId="10" fillId="0" borderId="1" xfId="0" applyFont="1" applyBorder="1"/>
    <xf numFmtId="0" fontId="10" fillId="0" borderId="1" xfId="0" applyFont="1" applyBorder="1" applyProtection="1">
      <protection locked="0"/>
    </xf>
    <xf numFmtId="0" fontId="2" fillId="0" borderId="0" xfId="0" applyFont="1" applyAlignment="1" applyProtection="1">
      <alignment horizontal="center" wrapText="1"/>
      <protection locked="0"/>
    </xf>
    <xf numFmtId="0" fontId="2" fillId="0" borderId="1" xfId="0" applyFont="1" applyBorder="1" applyAlignment="1">
      <alignment horizontal="center" wrapText="1"/>
    </xf>
    <xf numFmtId="2" fontId="1" fillId="0" borderId="1" xfId="0" applyNumberFormat="1" applyFont="1" applyBorder="1" applyAlignment="1">
      <alignment horizontal="center" vertical="center" wrapText="1"/>
    </xf>
    <xf numFmtId="2" fontId="11" fillId="0" borderId="1" xfId="0" applyNumberFormat="1" applyFont="1" applyBorder="1" applyAlignment="1">
      <alignment horizontal="center" vertical="center" wrapText="1"/>
    </xf>
    <xf numFmtId="2" fontId="1" fillId="3" borderId="1" xfId="0" applyNumberFormat="1" applyFont="1" applyFill="1" applyBorder="1" applyAlignment="1">
      <alignment horizontal="center" vertical="center" wrapText="1"/>
    </xf>
    <xf numFmtId="2" fontId="14" fillId="0" borderId="1" xfId="0" applyNumberFormat="1" applyFont="1" applyBorder="1" applyAlignment="1">
      <alignment horizontal="center" vertical="center" wrapText="1"/>
    </xf>
    <xf numFmtId="0" fontId="1" fillId="3" borderId="1" xfId="0" applyFont="1" applyFill="1" applyBorder="1" applyAlignment="1">
      <alignment horizontal="center" vertical="center" wrapText="1"/>
    </xf>
    <xf numFmtId="0" fontId="53" fillId="0" borderId="0" xfId="0" applyFont="1" applyAlignment="1">
      <alignment horizontal="center" vertical="center"/>
    </xf>
    <xf numFmtId="49" fontId="59" fillId="3" borderId="3" xfId="0" applyNumberFormat="1" applyFont="1" applyFill="1" applyBorder="1" applyAlignment="1">
      <alignment vertical="center" wrapText="1"/>
    </xf>
    <xf numFmtId="0" fontId="1" fillId="3" borderId="1" xfId="0" applyFont="1" applyFill="1" applyBorder="1" applyAlignment="1">
      <alignment horizontal="justify" vertical="center" wrapText="1"/>
    </xf>
    <xf numFmtId="0" fontId="6" fillId="3" borderId="1" xfId="0" applyFont="1" applyFill="1" applyBorder="1" applyAlignment="1">
      <alignment horizontal="justify" vertical="center" wrapText="1"/>
    </xf>
    <xf numFmtId="3" fontId="62" fillId="0" borderId="1" xfId="0" applyNumberFormat="1" applyFont="1" applyBorder="1" applyAlignment="1" applyProtection="1">
      <alignment horizontal="center" vertical="center"/>
      <protection locked="0"/>
    </xf>
    <xf numFmtId="2" fontId="11" fillId="0" borderId="0" xfId="0" applyNumberFormat="1" applyFont="1" applyAlignment="1">
      <alignment horizontal="center" vertical="center"/>
    </xf>
    <xf numFmtId="2" fontId="10" fillId="0" borderId="0" xfId="0" applyNumberFormat="1" applyFont="1" applyAlignment="1">
      <alignment vertical="center"/>
    </xf>
    <xf numFmtId="0" fontId="52" fillId="0" borderId="0" xfId="0" applyFont="1" applyAlignment="1">
      <alignment horizontal="center"/>
    </xf>
    <xf numFmtId="0" fontId="56" fillId="0" borderId="0" xfId="0" applyFont="1" applyAlignment="1">
      <alignment horizontal="right"/>
    </xf>
    <xf numFmtId="0" fontId="11" fillId="0" borderId="0" xfId="0" applyFont="1" applyAlignment="1">
      <alignment horizontal="center"/>
    </xf>
    <xf numFmtId="0" fontId="54" fillId="0" borderId="0" xfId="0" applyFont="1" applyAlignment="1">
      <alignment horizontal="center"/>
    </xf>
    <xf numFmtId="0" fontId="53" fillId="0" borderId="0" xfId="0" applyFont="1" applyAlignment="1">
      <alignment horizontal="center"/>
    </xf>
    <xf numFmtId="0" fontId="53" fillId="0" borderId="0" xfId="0" applyFont="1" applyAlignment="1">
      <alignment horizontal="center" vertical="center"/>
    </xf>
    <xf numFmtId="0" fontId="1" fillId="0" borderId="0" xfId="0" applyFont="1" applyAlignment="1">
      <alignment horizontal="left" vertical="center" wrapText="1"/>
    </xf>
    <xf numFmtId="2" fontId="29" fillId="0" borderId="1"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3" fontId="5" fillId="4" borderId="2" xfId="0" applyNumberFormat="1" applyFont="1" applyFill="1" applyBorder="1" applyAlignment="1" applyProtection="1">
      <alignment horizontal="center" vertical="center" wrapText="1"/>
      <protection locked="0"/>
    </xf>
    <xf numFmtId="3" fontId="5" fillId="4" borderId="3" xfId="0" applyNumberFormat="1" applyFont="1" applyFill="1" applyBorder="1" applyAlignment="1" applyProtection="1">
      <alignment horizontal="center" vertical="center" wrapText="1"/>
      <protection locked="0"/>
    </xf>
    <xf numFmtId="3" fontId="2" fillId="4" borderId="2" xfId="0" applyNumberFormat="1" applyFont="1" applyFill="1" applyBorder="1" applyAlignment="1" applyProtection="1">
      <alignment horizontal="center" vertical="center" wrapText="1"/>
      <protection locked="0"/>
    </xf>
    <xf numFmtId="3" fontId="2" fillId="4" borderId="3" xfId="0" applyNumberFormat="1" applyFont="1" applyFill="1" applyBorder="1" applyAlignment="1" applyProtection="1">
      <alignment horizontal="center" vertical="center" wrapText="1"/>
      <protection locked="0"/>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11" fillId="0" borderId="0" xfId="0" applyFont="1" applyAlignment="1">
      <alignment horizontal="left" wrapText="1"/>
    </xf>
    <xf numFmtId="0" fontId="11" fillId="0" borderId="0" xfId="0" applyFont="1" applyAlignment="1">
      <alignment horizontal="center" wrapText="1"/>
    </xf>
    <xf numFmtId="2" fontId="10" fillId="0" borderId="0" xfId="0" applyNumberFormat="1" applyFont="1" applyAlignment="1">
      <alignment horizontal="center" vertical="center"/>
    </xf>
    <xf numFmtId="0" fontId="61" fillId="0" borderId="10" xfId="0" applyFont="1" applyBorder="1" applyAlignment="1">
      <alignment horizontal="center" vertical="center" wrapText="1" readingOrder="1"/>
    </xf>
    <xf numFmtId="0" fontId="61" fillId="0" borderId="8" xfId="0" applyFont="1" applyBorder="1" applyAlignment="1">
      <alignment horizontal="center" vertical="center" wrapText="1" readingOrder="1"/>
    </xf>
    <xf numFmtId="0" fontId="61" fillId="0" borderId="9" xfId="0" applyFont="1" applyBorder="1" applyAlignment="1">
      <alignment horizontal="center" vertical="center" wrapText="1" readingOrder="1"/>
    </xf>
    <xf numFmtId="0" fontId="61" fillId="0" borderId="11" xfId="0" applyFont="1" applyBorder="1" applyAlignment="1">
      <alignment horizontal="center" vertical="center" wrapText="1" readingOrder="1"/>
    </xf>
    <xf numFmtId="0" fontId="61" fillId="0" borderId="12" xfId="0" applyFont="1" applyBorder="1" applyAlignment="1">
      <alignment horizontal="center" vertical="center" wrapText="1" readingOrder="1"/>
    </xf>
    <xf numFmtId="0" fontId="61" fillId="0" borderId="13" xfId="0" applyFont="1" applyBorder="1" applyAlignment="1">
      <alignment horizontal="center" vertical="center" wrapText="1" readingOrder="1"/>
    </xf>
    <xf numFmtId="0" fontId="45" fillId="2" borderId="5" xfId="0" applyFont="1" applyFill="1" applyBorder="1" applyAlignment="1">
      <alignment horizontal="center" vertical="center"/>
    </xf>
    <xf numFmtId="0" fontId="45" fillId="2" borderId="6" xfId="0" applyFont="1" applyFill="1" applyBorder="1" applyAlignment="1">
      <alignment horizontal="center" vertical="center"/>
    </xf>
    <xf numFmtId="0" fontId="45" fillId="2" borderId="7" xfId="0" applyFont="1" applyFill="1" applyBorder="1" applyAlignment="1">
      <alignment horizontal="center"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44" fillId="2" borderId="5" xfId="0" applyFont="1" applyFill="1" applyBorder="1" applyAlignment="1">
      <alignment horizontal="center" vertical="center"/>
    </xf>
    <xf numFmtId="0" fontId="44" fillId="2" borderId="6" xfId="0" applyFont="1" applyFill="1" applyBorder="1" applyAlignment="1">
      <alignment horizontal="center" vertical="center"/>
    </xf>
    <xf numFmtId="0" fontId="44" fillId="2" borderId="7" xfId="0" applyFont="1" applyFill="1" applyBorder="1" applyAlignment="1">
      <alignment horizontal="center" vertical="center"/>
    </xf>
  </cellXfs>
  <cellStyles count="3">
    <cellStyle name="Comma" xfId="1" builtinId="3"/>
    <cellStyle name="Normal" xfId="0" builtinId="0"/>
    <cellStyle name="Normal 2" xfId="2" xr:uid="{633E62EA-A478-4C5F-AD21-7F88D95E8807}"/>
  </cellStyles>
  <dxfs count="26">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i val="0"/>
      </font>
      <fill>
        <patternFill>
          <bgColor rgb="FFFF0000"/>
        </patternFill>
      </fill>
    </dxf>
    <dxf>
      <font>
        <b val="0"/>
        <i/>
        <color theme="0" tint="-0.14996795556505021"/>
      </font>
    </dxf>
    <dxf>
      <font>
        <b/>
        <i val="0"/>
      </font>
      <fill>
        <patternFill>
          <bgColor rgb="FFFF0000"/>
        </patternFill>
      </fill>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
      <font>
        <b val="0"/>
        <i/>
        <color theme="0" tint="-0.1499679555650502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340659</xdr:colOff>
      <xdr:row>0</xdr:row>
      <xdr:rowOff>143435</xdr:rowOff>
    </xdr:from>
    <xdr:to>
      <xdr:col>4</xdr:col>
      <xdr:colOff>421821</xdr:colOff>
      <xdr:row>9</xdr:row>
      <xdr:rowOff>0</xdr:rowOff>
    </xdr:to>
    <xdr:sp macro="" textlink="">
      <xdr:nvSpPr>
        <xdr:cNvPr id="6" name="TextBox 5">
          <a:extLst>
            <a:ext uri="{FF2B5EF4-FFF2-40B4-BE49-F238E27FC236}">
              <a16:creationId xmlns:a16="http://schemas.microsoft.com/office/drawing/2014/main" id="{AA03C51B-E806-4569-96BB-F63F97558311}"/>
            </a:ext>
          </a:extLst>
        </xdr:cNvPr>
        <xdr:cNvSpPr txBox="1"/>
      </xdr:nvSpPr>
      <xdr:spPr>
        <a:xfrm>
          <a:off x="340659" y="143435"/>
          <a:ext cx="4929387" cy="15901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r>
            <a:rPr lang="en-US" sz="1050">
              <a:solidFill>
                <a:schemeClr val="dk1"/>
              </a:solidFill>
              <a:effectLst/>
              <a:latin typeface="Arial" panose="020B0604020202020204" pitchFamily="34" charset="0"/>
              <a:ea typeface="+mn-ea"/>
              <a:cs typeface="Arial" panose="020B0604020202020204" pitchFamily="34" charset="0"/>
            </a:rPr>
            <a:t>Completion of Construction, Remedying Defects Therein and Maintenance During One Year Defect Liability Period of</a:t>
          </a:r>
        </a:p>
        <a:p>
          <a:pPr algn="ctr" rtl="0"/>
          <a:endParaRPr lang="en-US" sz="1600">
            <a:solidFill>
              <a:schemeClr val="dk1"/>
            </a:solidFill>
            <a:effectLst/>
            <a:latin typeface="Arial" panose="020B0604020202020204" pitchFamily="34" charset="0"/>
            <a:ea typeface="+mn-ea"/>
            <a:cs typeface="Arial" panose="020B0604020202020204" pitchFamily="34" charset="0"/>
          </a:endParaRPr>
        </a:p>
        <a:p>
          <a:pPr algn="ctr" rtl="0"/>
          <a:r>
            <a:rPr lang="en-US" sz="1600" b="1" u="sng">
              <a:solidFill>
                <a:schemeClr val="dk1"/>
              </a:solidFill>
              <a:effectLst/>
              <a:latin typeface="Arial" panose="020B0604020202020204" pitchFamily="34" charset="0"/>
              <a:ea typeface="+mn-ea"/>
              <a:cs typeface="Arial" panose="020B0604020202020204" pitchFamily="34" charset="0"/>
            </a:rPr>
            <a:t>G + 4 Parking + 15 (Typical) Floors Building</a:t>
          </a:r>
        </a:p>
        <a:p>
          <a:pPr algn="ctr" rtl="0"/>
          <a:endParaRPr lang="en-US" sz="1200" b="1" u="sng">
            <a:solidFill>
              <a:schemeClr val="dk1"/>
            </a:solidFill>
            <a:effectLst/>
            <a:latin typeface="Arial" panose="020B0604020202020204" pitchFamily="34" charset="0"/>
            <a:ea typeface="+mn-ea"/>
            <a:cs typeface="Arial" panose="020B06040202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050" b="0" u="none">
              <a:solidFill>
                <a:schemeClr val="dk1"/>
              </a:solidFill>
              <a:effectLst/>
              <a:latin typeface="Arial" panose="020B0604020202020204" pitchFamily="34" charset="0"/>
              <a:ea typeface="+mn-ea"/>
              <a:cs typeface="Arial" panose="020B0604020202020204" pitchFamily="34" charset="0"/>
            </a:rPr>
            <a:t>On Plot No. 308 at Al Khan / Al Khaldeah, Sharjah, U.A.E </a:t>
          </a:r>
          <a:endParaRPr lang="en-AE" sz="1050" b="0" u="none">
            <a:solidFill>
              <a:schemeClr val="dk1"/>
            </a:solidFill>
            <a:effectLst/>
            <a:latin typeface="Arial" panose="020B0604020202020204" pitchFamily="34" charset="0"/>
            <a:ea typeface="+mn-ea"/>
            <a:cs typeface="Arial" panose="020B0604020202020204" pitchFamily="34" charset="0"/>
          </a:endParaRPr>
        </a:p>
        <a:p>
          <a:pPr algn="ctr" rtl="0"/>
          <a:r>
            <a:rPr lang="en-US" sz="1600" b="0" u="none">
              <a:solidFill>
                <a:schemeClr val="dk1"/>
              </a:solidFill>
              <a:effectLst/>
              <a:latin typeface="Arial" panose="020B0604020202020204" pitchFamily="34" charset="0"/>
              <a:ea typeface="+mn-ea"/>
              <a:cs typeface="Arial" panose="020B0604020202020204" pitchFamily="34" charset="0"/>
            </a:rPr>
            <a:t> </a:t>
          </a:r>
        </a:p>
      </xdr:txBody>
    </xdr:sp>
    <xdr:clientData/>
  </xdr:twoCellAnchor>
  <xdr:twoCellAnchor>
    <xdr:from>
      <xdr:col>0</xdr:col>
      <xdr:colOff>85379</xdr:colOff>
      <xdr:row>42</xdr:row>
      <xdr:rowOff>9369</xdr:rowOff>
    </xdr:from>
    <xdr:to>
      <xdr:col>4</xdr:col>
      <xdr:colOff>557893</xdr:colOff>
      <xdr:row>45</xdr:row>
      <xdr:rowOff>57150</xdr:rowOff>
    </xdr:to>
    <xdr:sp macro="" textlink="">
      <xdr:nvSpPr>
        <xdr:cNvPr id="7" name="TextBox 6">
          <a:extLst>
            <a:ext uri="{FF2B5EF4-FFF2-40B4-BE49-F238E27FC236}">
              <a16:creationId xmlns:a16="http://schemas.microsoft.com/office/drawing/2014/main" id="{598FDAF4-2A39-4DA5-A9BE-E7565362D5D8}"/>
            </a:ext>
          </a:extLst>
        </xdr:cNvPr>
        <xdr:cNvSpPr txBox="1"/>
      </xdr:nvSpPr>
      <xdr:spPr>
        <a:xfrm>
          <a:off x="85379" y="7819869"/>
          <a:ext cx="5320739" cy="5907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1">
              <a:solidFill>
                <a:schemeClr val="dk1"/>
              </a:solidFill>
              <a:effectLst/>
              <a:latin typeface="+mn-lt"/>
              <a:ea typeface="+mn-ea"/>
              <a:cs typeface="+mn-cs"/>
            </a:rPr>
            <a:t>Employer	: Mr. Mongi</a:t>
          </a:r>
          <a:r>
            <a:rPr lang="en-US" sz="1400" b="1" baseline="0">
              <a:solidFill>
                <a:schemeClr val="dk1"/>
              </a:solidFill>
              <a:effectLst/>
              <a:latin typeface="+mn-lt"/>
              <a:ea typeface="+mn-ea"/>
              <a:cs typeface="+mn-cs"/>
            </a:rPr>
            <a:t> Jarray</a:t>
          </a:r>
          <a:endParaRPr lang="en-AE" sz="1400">
            <a:solidFill>
              <a:schemeClr val="dk1"/>
            </a:solidFill>
            <a:effectLst/>
            <a:latin typeface="+mn-lt"/>
            <a:ea typeface="+mn-ea"/>
            <a:cs typeface="+mn-cs"/>
          </a:endParaRPr>
        </a:p>
        <a:p>
          <a:pPr rtl="0"/>
          <a:r>
            <a:rPr lang="en-US" sz="1400" b="1">
              <a:solidFill>
                <a:schemeClr val="dk1"/>
              </a:solidFill>
              <a:effectLst/>
              <a:latin typeface="+mn-lt"/>
              <a:ea typeface="+mn-ea"/>
              <a:cs typeface="+mn-cs"/>
            </a:rPr>
            <a:t>Engineer	: Al Mukab Al Fudhi Eng. Consultants LLC</a:t>
          </a:r>
          <a:endParaRPr lang="en-AE" sz="140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F6F97-A126-4441-A6FA-26644CCCD0DA}">
  <sheetPr>
    <pageSetUpPr fitToPage="1"/>
  </sheetPr>
  <dimension ref="A1:J48"/>
  <sheetViews>
    <sheetView showGridLines="0" tabSelected="1" view="pageBreakPreview" zoomScale="115" zoomScaleNormal="100" zoomScaleSheetLayoutView="115" workbookViewId="0">
      <pane ySplit="1" topLeftCell="A5" activePane="bottomLeft" state="frozen"/>
      <selection activeCell="B5" sqref="B5"/>
      <selection pane="bottomLeft" activeCell="H14" sqref="H14"/>
    </sheetView>
  </sheetViews>
  <sheetFormatPr defaultColWidth="9.140625" defaultRowHeight="15" x14ac:dyDescent="0.25"/>
  <cols>
    <col min="1" max="1" width="8" style="10" customWidth="1"/>
    <col min="2" max="2" width="48.140625" style="10" customWidth="1"/>
    <col min="3" max="3" width="6" style="22" customWidth="1"/>
    <col min="4" max="4" width="10.5703125" style="29" customWidth="1"/>
    <col min="5" max="5" width="11.140625" style="29" customWidth="1"/>
    <col min="6" max="6" width="13.28515625" style="29" customWidth="1"/>
    <col min="7" max="16384" width="9.140625" style="17"/>
  </cols>
  <sheetData>
    <row r="1" spans="1:10" ht="14.25" x14ac:dyDescent="0.2">
      <c r="A1" s="105"/>
      <c r="B1" s="54"/>
      <c r="C1" s="53"/>
      <c r="D1" s="106"/>
      <c r="E1" s="106"/>
      <c r="F1" s="106"/>
      <c r="G1" s="54"/>
      <c r="H1" s="54"/>
      <c r="I1" s="54"/>
      <c r="J1" s="54"/>
    </row>
    <row r="2" spans="1:10" ht="13.9" x14ac:dyDescent="0.25">
      <c r="A2" s="105"/>
      <c r="B2" s="54"/>
      <c r="C2" s="53"/>
      <c r="D2" s="106"/>
      <c r="E2" s="106"/>
      <c r="F2" s="106"/>
      <c r="G2" s="54"/>
      <c r="H2" s="54"/>
      <c r="I2" s="54"/>
      <c r="J2" s="54"/>
    </row>
    <row r="3" spans="1:10" ht="13.9" x14ac:dyDescent="0.25">
      <c r="A3" s="105"/>
      <c r="B3" s="54"/>
      <c r="C3" s="53"/>
      <c r="D3" s="106"/>
      <c r="E3" s="106"/>
      <c r="F3" s="106"/>
      <c r="G3" s="54"/>
      <c r="H3" s="54"/>
      <c r="I3" s="54"/>
      <c r="J3" s="54"/>
    </row>
    <row r="4" spans="1:10" ht="13.9" x14ac:dyDescent="0.25">
      <c r="A4" s="105"/>
      <c r="B4" s="54"/>
      <c r="C4" s="53"/>
      <c r="D4" s="106"/>
      <c r="E4" s="106"/>
      <c r="F4" s="106"/>
      <c r="G4" s="54"/>
      <c r="H4" s="54"/>
      <c r="I4" s="54"/>
      <c r="J4" s="54"/>
    </row>
    <row r="5" spans="1:10" ht="13.9" x14ac:dyDescent="0.25">
      <c r="A5" s="105"/>
      <c r="B5" s="54"/>
      <c r="C5" s="53"/>
      <c r="D5" s="106"/>
      <c r="E5" s="106"/>
      <c r="F5" s="106"/>
      <c r="G5" s="54"/>
      <c r="H5" s="54"/>
      <c r="I5" s="54"/>
      <c r="J5" s="54"/>
    </row>
    <row r="6" spans="1:10" ht="13.9" x14ac:dyDescent="0.25">
      <c r="A6" s="105"/>
      <c r="B6" s="54"/>
      <c r="C6" s="53"/>
      <c r="D6" s="106"/>
      <c r="E6" s="106"/>
      <c r="F6" s="106"/>
      <c r="G6" s="54"/>
      <c r="H6" s="54"/>
      <c r="I6" s="54"/>
      <c r="J6" s="54"/>
    </row>
    <row r="7" spans="1:10" ht="13.9" x14ac:dyDescent="0.25">
      <c r="A7" s="105"/>
      <c r="B7" s="54"/>
      <c r="C7" s="53"/>
      <c r="D7" s="106"/>
      <c r="E7" s="106"/>
      <c r="F7" s="106"/>
      <c r="G7" s="54"/>
      <c r="H7" s="54"/>
      <c r="I7" s="54"/>
      <c r="J7" s="54"/>
    </row>
    <row r="8" spans="1:10" ht="13.9" x14ac:dyDescent="0.25">
      <c r="A8" s="105"/>
      <c r="B8" s="54"/>
      <c r="C8" s="53"/>
      <c r="D8" s="106"/>
      <c r="E8" s="106"/>
      <c r="F8" s="106"/>
      <c r="G8" s="54"/>
      <c r="H8" s="54"/>
      <c r="I8" s="54"/>
      <c r="J8" s="54"/>
    </row>
    <row r="9" spans="1:10" ht="13.9" x14ac:dyDescent="0.25">
      <c r="A9" s="105"/>
      <c r="B9" s="54"/>
      <c r="C9" s="53"/>
      <c r="D9" s="106"/>
      <c r="E9" s="106"/>
      <c r="F9" s="106"/>
      <c r="G9" s="54"/>
      <c r="H9" s="54"/>
      <c r="I9" s="54"/>
      <c r="J9" s="54"/>
    </row>
    <row r="10" spans="1:10" x14ac:dyDescent="0.25">
      <c r="A10" s="186" t="s">
        <v>592</v>
      </c>
      <c r="B10" s="187"/>
      <c r="C10" s="187"/>
      <c r="D10" s="187"/>
      <c r="E10" s="187"/>
      <c r="F10" s="106"/>
      <c r="G10" s="54"/>
      <c r="H10" s="54"/>
      <c r="I10" s="54"/>
      <c r="J10" s="54"/>
    </row>
    <row r="11" spans="1:10" ht="20.25" x14ac:dyDescent="0.3">
      <c r="A11" s="184"/>
      <c r="B11" s="184"/>
      <c r="C11" s="184"/>
      <c r="D11" s="184"/>
      <c r="E11" s="184"/>
      <c r="F11" s="106"/>
      <c r="G11" s="54"/>
      <c r="H11" s="54"/>
      <c r="I11" s="54"/>
      <c r="J11" s="54"/>
    </row>
    <row r="12" spans="1:10" ht="20.25" x14ac:dyDescent="0.3">
      <c r="A12" s="188" t="s">
        <v>571</v>
      </c>
      <c r="B12" s="188"/>
      <c r="C12" s="188"/>
      <c r="D12" s="188"/>
      <c r="E12" s="188"/>
      <c r="F12" s="106"/>
      <c r="G12" s="54"/>
      <c r="H12" s="54"/>
      <c r="I12" s="54"/>
      <c r="J12" s="54"/>
    </row>
    <row r="13" spans="1:10" ht="20.25" x14ac:dyDescent="0.3">
      <c r="A13" s="184"/>
      <c r="B13" s="184"/>
      <c r="C13" s="184"/>
      <c r="D13" s="184"/>
      <c r="E13" s="184"/>
      <c r="F13" s="106"/>
      <c r="G13" s="54"/>
      <c r="H13" s="54"/>
      <c r="I13" s="54"/>
      <c r="J13" s="54"/>
    </row>
    <row r="14" spans="1:10" ht="20.25" x14ac:dyDescent="0.2">
      <c r="A14" s="189" t="s">
        <v>572</v>
      </c>
      <c r="B14" s="189"/>
      <c r="C14" s="189"/>
      <c r="D14" s="189"/>
      <c r="E14" s="189"/>
      <c r="F14" s="107"/>
      <c r="G14" s="107"/>
      <c r="H14" s="107"/>
      <c r="I14" s="107"/>
      <c r="J14" s="54"/>
    </row>
    <row r="15" spans="1:10" ht="20.25" x14ac:dyDescent="0.2">
      <c r="A15" s="177"/>
      <c r="B15" s="177"/>
      <c r="C15" s="177"/>
      <c r="D15" s="177"/>
      <c r="E15" s="177"/>
      <c r="F15" s="107"/>
      <c r="G15" s="107"/>
      <c r="H15" s="107"/>
      <c r="I15" s="107"/>
      <c r="J15" s="54"/>
    </row>
    <row r="16" spans="1:10" ht="20.25" x14ac:dyDescent="0.2">
      <c r="A16" s="177"/>
      <c r="B16" s="177"/>
      <c r="C16" s="177"/>
      <c r="D16" s="177"/>
      <c r="E16" s="177"/>
      <c r="F16" s="107"/>
      <c r="G16" s="107"/>
      <c r="H16" s="107"/>
      <c r="I16" s="107"/>
      <c r="J16" s="54"/>
    </row>
    <row r="17" spans="1:10" ht="14.25" x14ac:dyDescent="0.2">
      <c r="A17" s="105"/>
      <c r="B17" s="54"/>
      <c r="C17" s="53"/>
      <c r="D17" s="106"/>
      <c r="E17" s="106"/>
      <c r="F17" s="106"/>
      <c r="G17" s="54"/>
      <c r="H17" s="54"/>
      <c r="I17" s="54"/>
      <c r="J17" s="54"/>
    </row>
    <row r="18" spans="1:10" ht="14.25" x14ac:dyDescent="0.2">
      <c r="A18" s="105"/>
      <c r="B18" s="54"/>
      <c r="C18" s="53"/>
      <c r="D18" s="106"/>
      <c r="E18" s="106"/>
      <c r="F18" s="106"/>
      <c r="G18" s="54"/>
      <c r="H18" s="54"/>
      <c r="I18" s="54"/>
      <c r="J18" s="54"/>
    </row>
    <row r="19" spans="1:10" ht="14.25" x14ac:dyDescent="0.2">
      <c r="A19" s="105"/>
      <c r="B19" s="54"/>
      <c r="C19" s="53"/>
      <c r="D19" s="106"/>
      <c r="E19" s="106"/>
      <c r="F19" s="106"/>
      <c r="G19" s="54"/>
      <c r="H19" s="54"/>
      <c r="I19" s="54"/>
      <c r="J19" s="54"/>
    </row>
    <row r="20" spans="1:10" ht="14.25" x14ac:dyDescent="0.2">
      <c r="A20" s="105"/>
      <c r="B20" s="54"/>
      <c r="C20" s="53"/>
      <c r="D20" s="106"/>
      <c r="E20" s="106"/>
      <c r="F20" s="106"/>
      <c r="G20" s="54"/>
      <c r="H20" s="54"/>
      <c r="I20" s="54"/>
      <c r="J20" s="54"/>
    </row>
    <row r="21" spans="1:10" ht="14.25" x14ac:dyDescent="0.2">
      <c r="A21" s="105"/>
      <c r="B21" s="54"/>
      <c r="C21" s="53"/>
      <c r="D21" s="106"/>
      <c r="E21" s="106"/>
      <c r="F21" s="106"/>
      <c r="G21" s="54"/>
      <c r="H21" s="54"/>
      <c r="I21" s="54"/>
      <c r="J21" s="54"/>
    </row>
    <row r="22" spans="1:10" ht="14.25" x14ac:dyDescent="0.2">
      <c r="A22" s="105"/>
      <c r="B22" s="54"/>
      <c r="C22" s="53"/>
      <c r="D22" s="106"/>
      <c r="E22" s="106"/>
      <c r="F22" s="106"/>
      <c r="G22" s="54"/>
      <c r="H22" s="54"/>
      <c r="I22" s="54"/>
      <c r="J22" s="54"/>
    </row>
    <row r="23" spans="1:10" ht="14.25" x14ac:dyDescent="0.2">
      <c r="A23" s="105"/>
      <c r="B23" s="54"/>
      <c r="C23" s="53"/>
      <c r="D23" s="106"/>
      <c r="E23" s="106"/>
      <c r="F23" s="106"/>
      <c r="G23" s="54"/>
      <c r="H23" s="54"/>
      <c r="I23" s="54"/>
      <c r="J23" s="54"/>
    </row>
    <row r="24" spans="1:10" ht="14.25" x14ac:dyDescent="0.2">
      <c r="A24" s="105"/>
      <c r="B24" s="54"/>
      <c r="C24" s="53"/>
      <c r="D24" s="106"/>
      <c r="E24" s="106"/>
      <c r="F24" s="106"/>
      <c r="G24" s="54"/>
      <c r="H24" s="54"/>
      <c r="I24" s="54"/>
      <c r="J24" s="54"/>
    </row>
    <row r="25" spans="1:10" ht="14.25" x14ac:dyDescent="0.2">
      <c r="A25" s="105"/>
      <c r="B25" s="54"/>
      <c r="C25" s="53"/>
      <c r="D25" s="106"/>
      <c r="E25" s="106"/>
      <c r="F25" s="106"/>
      <c r="G25" s="54"/>
      <c r="H25" s="54"/>
      <c r="I25" s="54"/>
      <c r="J25" s="54"/>
    </row>
    <row r="26" spans="1:10" ht="14.25" x14ac:dyDescent="0.2">
      <c r="A26" s="105"/>
      <c r="B26" s="54"/>
      <c r="C26" s="53"/>
      <c r="D26" s="106"/>
      <c r="E26" s="106"/>
      <c r="F26" s="106"/>
      <c r="G26" s="54"/>
      <c r="H26" s="54"/>
      <c r="I26" s="54"/>
      <c r="J26" s="54"/>
    </row>
    <row r="27" spans="1:10" ht="14.25" x14ac:dyDescent="0.2">
      <c r="A27" s="105"/>
      <c r="B27" s="54"/>
      <c r="C27" s="53"/>
      <c r="D27" s="106"/>
      <c r="E27" s="106"/>
      <c r="F27" s="106"/>
      <c r="G27" s="54"/>
      <c r="H27" s="54"/>
      <c r="I27" s="54"/>
      <c r="J27" s="54"/>
    </row>
    <row r="28" spans="1:10" ht="14.25" x14ac:dyDescent="0.2">
      <c r="A28" s="105"/>
      <c r="B28" s="54"/>
      <c r="C28" s="53"/>
      <c r="D28" s="106"/>
      <c r="E28" s="106"/>
      <c r="F28" s="106"/>
      <c r="G28" s="54"/>
      <c r="H28" s="54"/>
      <c r="I28" s="54"/>
      <c r="J28" s="54"/>
    </row>
    <row r="29" spans="1:10" ht="14.25" x14ac:dyDescent="0.2">
      <c r="A29" s="105"/>
      <c r="B29" s="54"/>
      <c r="C29" s="53"/>
      <c r="D29" s="106"/>
      <c r="E29" s="106"/>
      <c r="F29" s="106"/>
      <c r="G29" s="54"/>
      <c r="H29" s="54"/>
      <c r="I29" s="54"/>
      <c r="J29" s="54"/>
    </row>
    <row r="30" spans="1:10" ht="14.25" x14ac:dyDescent="0.2">
      <c r="A30" s="105"/>
      <c r="B30" s="54"/>
      <c r="C30" s="53"/>
      <c r="D30" s="106"/>
      <c r="E30" s="106"/>
      <c r="F30" s="106"/>
      <c r="G30" s="54"/>
      <c r="H30" s="54"/>
      <c r="I30" s="54"/>
      <c r="J30" s="54"/>
    </row>
    <row r="31" spans="1:10" ht="14.25" x14ac:dyDescent="0.2">
      <c r="A31" s="105"/>
      <c r="B31" s="54"/>
      <c r="C31" s="53"/>
      <c r="D31" s="106"/>
      <c r="E31" s="106"/>
      <c r="F31" s="106"/>
      <c r="G31" s="54"/>
      <c r="H31" s="54"/>
      <c r="I31" s="54"/>
      <c r="J31" s="54"/>
    </row>
    <row r="32" spans="1:10" ht="14.25" x14ac:dyDescent="0.2">
      <c r="A32" s="105"/>
      <c r="B32" s="54"/>
      <c r="C32" s="53"/>
      <c r="D32" s="106"/>
      <c r="E32" s="106"/>
      <c r="F32" s="106"/>
      <c r="G32" s="54"/>
      <c r="H32" s="54"/>
      <c r="I32" s="54"/>
      <c r="J32" s="54"/>
    </row>
    <row r="33" spans="1:10" ht="14.25" x14ac:dyDescent="0.2">
      <c r="A33" s="105"/>
      <c r="B33" s="54"/>
      <c r="C33" s="53"/>
      <c r="D33" s="106"/>
      <c r="E33" s="106"/>
      <c r="F33" s="106"/>
      <c r="G33" s="54"/>
      <c r="H33" s="54"/>
      <c r="I33" s="54"/>
      <c r="J33" s="54"/>
    </row>
    <row r="34" spans="1:10" ht="14.25" x14ac:dyDescent="0.2">
      <c r="A34" s="105"/>
      <c r="B34" s="54"/>
      <c r="C34" s="53"/>
      <c r="D34" s="106"/>
      <c r="E34" s="106"/>
      <c r="F34" s="106"/>
      <c r="G34" s="54"/>
      <c r="H34" s="54"/>
      <c r="I34" s="54"/>
      <c r="J34" s="54"/>
    </row>
    <row r="35" spans="1:10" ht="14.25" x14ac:dyDescent="0.2">
      <c r="A35" s="105"/>
      <c r="B35" s="54"/>
      <c r="C35" s="53"/>
      <c r="D35" s="106"/>
      <c r="E35" s="106"/>
      <c r="F35" s="106"/>
      <c r="G35" s="54"/>
      <c r="H35" s="54"/>
      <c r="I35" s="54"/>
      <c r="J35" s="54"/>
    </row>
    <row r="36" spans="1:10" ht="14.25" x14ac:dyDescent="0.2">
      <c r="A36" s="105"/>
      <c r="B36" s="54"/>
      <c r="C36" s="53"/>
      <c r="D36" s="106"/>
      <c r="E36" s="106"/>
      <c r="F36" s="106"/>
      <c r="G36" s="54"/>
      <c r="H36" s="54"/>
      <c r="I36" s="54"/>
      <c r="J36" s="54"/>
    </row>
    <row r="37" spans="1:10" ht="14.25" x14ac:dyDescent="0.2">
      <c r="A37" s="105"/>
      <c r="B37" s="54"/>
      <c r="C37" s="53"/>
      <c r="D37" s="106"/>
      <c r="E37" s="106"/>
      <c r="F37" s="106"/>
      <c r="G37" s="54"/>
      <c r="H37" s="54"/>
      <c r="I37" s="54"/>
      <c r="J37" s="54"/>
    </row>
    <row r="38" spans="1:10" ht="14.25" x14ac:dyDescent="0.2">
      <c r="A38" s="105"/>
      <c r="B38" s="54"/>
      <c r="C38" s="53"/>
      <c r="D38" s="106"/>
      <c r="E38" s="106"/>
      <c r="F38" s="106"/>
      <c r="G38" s="54"/>
      <c r="H38" s="54"/>
      <c r="I38" s="54"/>
      <c r="J38" s="54"/>
    </row>
    <row r="39" spans="1:10" ht="14.25" x14ac:dyDescent="0.2">
      <c r="A39" s="105"/>
      <c r="B39" s="54"/>
      <c r="C39" s="53"/>
      <c r="D39" s="106"/>
      <c r="E39" s="106"/>
      <c r="F39" s="106"/>
      <c r="G39" s="54"/>
      <c r="H39" s="54"/>
      <c r="I39" s="54"/>
      <c r="J39" s="54"/>
    </row>
    <row r="40" spans="1:10" ht="14.25" x14ac:dyDescent="0.2">
      <c r="A40" s="105"/>
      <c r="B40" s="54"/>
      <c r="C40" s="53"/>
      <c r="D40" s="106"/>
      <c r="E40" s="106"/>
      <c r="F40" s="106"/>
      <c r="G40" s="54"/>
      <c r="H40" s="54"/>
      <c r="I40" s="54"/>
      <c r="J40" s="54"/>
    </row>
    <row r="41" spans="1:10" ht="14.25" x14ac:dyDescent="0.2">
      <c r="A41" s="105"/>
      <c r="B41" s="54"/>
      <c r="C41" s="53"/>
      <c r="D41" s="106"/>
      <c r="E41" s="106"/>
      <c r="F41" s="106"/>
      <c r="G41" s="54"/>
      <c r="H41" s="54"/>
      <c r="I41" s="54"/>
      <c r="J41" s="54"/>
    </row>
    <row r="42" spans="1:10" ht="14.25" x14ac:dyDescent="0.2">
      <c r="A42" s="105"/>
      <c r="B42" s="54"/>
      <c r="C42" s="53"/>
      <c r="D42" s="106"/>
      <c r="E42" s="106"/>
      <c r="F42" s="106"/>
      <c r="G42" s="54"/>
      <c r="H42" s="54"/>
      <c r="I42" s="54"/>
      <c r="J42" s="54"/>
    </row>
    <row r="43" spans="1:10" ht="14.25" x14ac:dyDescent="0.2">
      <c r="A43" s="105"/>
      <c r="B43" s="54"/>
      <c r="C43" s="53"/>
      <c r="D43" s="106"/>
      <c r="E43" s="106"/>
      <c r="F43" s="106"/>
      <c r="G43" s="54"/>
      <c r="H43" s="54"/>
      <c r="I43" s="54"/>
      <c r="J43" s="54"/>
    </row>
    <row r="44" spans="1:10" ht="14.25" x14ac:dyDescent="0.2">
      <c r="A44" s="105"/>
      <c r="B44" s="54"/>
      <c r="C44" s="53"/>
      <c r="D44" s="106"/>
      <c r="E44" s="106"/>
      <c r="F44" s="106"/>
      <c r="G44" s="54"/>
      <c r="H44" s="54"/>
      <c r="I44" s="54"/>
      <c r="J44" s="54"/>
    </row>
    <row r="45" spans="1:10" ht="14.25" x14ac:dyDescent="0.2">
      <c r="A45" s="105"/>
      <c r="B45" s="54"/>
      <c r="C45" s="53"/>
      <c r="D45" s="106"/>
      <c r="E45" s="106"/>
      <c r="F45" s="106"/>
      <c r="G45" s="54"/>
      <c r="H45" s="54"/>
      <c r="I45" s="54"/>
      <c r="J45" s="54"/>
    </row>
    <row r="46" spans="1:10" ht="14.25" x14ac:dyDescent="0.2">
      <c r="A46" s="105"/>
      <c r="B46" s="54"/>
      <c r="C46" s="53"/>
      <c r="D46" s="106"/>
      <c r="E46" s="106"/>
      <c r="F46" s="106"/>
      <c r="G46" s="54"/>
      <c r="H46" s="54"/>
      <c r="I46" s="54"/>
      <c r="J46" s="54"/>
    </row>
    <row r="47" spans="1:10" ht="14.25" x14ac:dyDescent="0.2">
      <c r="A47" s="105"/>
      <c r="B47" s="185" t="s">
        <v>654</v>
      </c>
      <c r="C47" s="185"/>
      <c r="D47" s="185"/>
      <c r="E47" s="185"/>
      <c r="F47" s="106"/>
      <c r="G47" s="54"/>
      <c r="H47" s="54"/>
      <c r="I47" s="54"/>
      <c r="J47" s="54"/>
    </row>
    <row r="48" spans="1:10" ht="14.25" x14ac:dyDescent="0.2">
      <c r="A48" s="105"/>
      <c r="B48" s="54"/>
      <c r="C48" s="53"/>
      <c r="D48" s="106"/>
      <c r="E48" s="106"/>
      <c r="F48" s="106"/>
      <c r="G48" s="54"/>
      <c r="H48" s="54"/>
      <c r="I48" s="54"/>
      <c r="J48" s="54"/>
    </row>
  </sheetData>
  <sheetProtection formatCells="0" formatColumns="0" selectLockedCells="1"/>
  <mergeCells count="6">
    <mergeCell ref="A11:E11"/>
    <mergeCell ref="A13:E13"/>
    <mergeCell ref="B47:E47"/>
    <mergeCell ref="A10:E10"/>
    <mergeCell ref="A12:E12"/>
    <mergeCell ref="A14:E14"/>
  </mergeCells>
  <conditionalFormatting sqref="D1:F9 F10:F16 D17:F46 F47 D48:F1048576">
    <cfRule type="cellIs" dxfId="25" priority="321" operator="equal">
      <formula>0</formula>
    </cfRule>
  </conditionalFormatting>
  <printOptions horizontalCentered="1"/>
  <pageMargins left="0.23622047244094491" right="0.23622047244094491" top="0.86614173228346458" bottom="0.74803149606299213" header="0.31496062992125984" footer="0.31496062992125984"/>
  <pageSetup paperSize="9" fitToHeight="0" orientation="portrait" r:id="rId1"/>
  <headerFooter scaleWithDoc="0">
    <oddHeader>&amp;R&amp;G</oddHeader>
    <oddFooter>&amp;L&amp;10 224025_BOQ_Rev.T00_18-09-2024&amp;C&amp;10&amp;K04-018&amp;A&amp;11&amp;K01+000
&amp;R&amp;P of &amp;N</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751"/>
  <sheetViews>
    <sheetView showGridLines="0" view="pageBreakPreview" zoomScale="115" zoomScaleNormal="100" zoomScaleSheetLayoutView="115" workbookViewId="0">
      <pane ySplit="2" topLeftCell="A3" activePane="bottomLeft" state="frozen"/>
      <selection activeCell="B292" sqref="B292"/>
      <selection pane="bottomLeft" sqref="A1:A2"/>
    </sheetView>
  </sheetViews>
  <sheetFormatPr defaultColWidth="9.140625" defaultRowHeight="15" outlineLevelRow="1" x14ac:dyDescent="0.25"/>
  <cols>
    <col min="1" max="1" width="8" style="161" customWidth="1"/>
    <col min="2" max="2" width="48.140625" style="129" customWidth="1"/>
    <col min="3" max="3" width="6" style="22" customWidth="1"/>
    <col min="4" max="4" width="10.5703125" style="29" customWidth="1"/>
    <col min="5" max="5" width="11.140625" style="29" customWidth="1"/>
    <col min="6" max="6" width="13.28515625" style="29" customWidth="1"/>
    <col min="7" max="16384" width="9.140625" style="17"/>
  </cols>
  <sheetData>
    <row r="1" spans="1:7" s="10" customFormat="1" ht="14.25" x14ac:dyDescent="0.2">
      <c r="A1" s="192" t="s">
        <v>429</v>
      </c>
      <c r="B1" s="198" t="s">
        <v>80</v>
      </c>
      <c r="C1" s="192" t="s">
        <v>0</v>
      </c>
      <c r="D1" s="196" t="s">
        <v>105</v>
      </c>
      <c r="E1" s="196" t="s">
        <v>106</v>
      </c>
      <c r="F1" s="194" t="s">
        <v>430</v>
      </c>
    </row>
    <row r="2" spans="1:7" s="10" customFormat="1" ht="23.25" customHeight="1" x14ac:dyDescent="0.2">
      <c r="A2" s="193"/>
      <c r="B2" s="199"/>
      <c r="C2" s="193"/>
      <c r="D2" s="197"/>
      <c r="E2" s="197"/>
      <c r="F2" s="195"/>
    </row>
    <row r="3" spans="1:7" s="10" customFormat="1" ht="24.95" customHeight="1" outlineLevel="1" x14ac:dyDescent="0.2">
      <c r="A3" s="93"/>
      <c r="B3" s="125" t="s">
        <v>358</v>
      </c>
      <c r="C3" s="94"/>
      <c r="D3" s="95"/>
      <c r="E3" s="95"/>
      <c r="F3" s="95"/>
      <c r="G3" s="36"/>
    </row>
    <row r="4" spans="1:7" s="10" customFormat="1" ht="204" outlineLevel="1" x14ac:dyDescent="0.2">
      <c r="A4" s="146"/>
      <c r="B4" s="178" t="s">
        <v>625</v>
      </c>
      <c r="C4" s="2"/>
      <c r="D4" s="6"/>
      <c r="E4" s="5"/>
      <c r="F4" s="6"/>
    </row>
    <row r="5" spans="1:7" s="10" customFormat="1" ht="51" outlineLevel="1" x14ac:dyDescent="0.2">
      <c r="A5" s="146">
        <v>1.01</v>
      </c>
      <c r="B5" s="1" t="s">
        <v>394</v>
      </c>
      <c r="C5" s="2" t="s">
        <v>429</v>
      </c>
      <c r="D5" s="6"/>
      <c r="E5" s="5"/>
      <c r="F5" s="6">
        <f t="shared" ref="F5:F64" si="0">IFERROR(E5*D5,0)</f>
        <v>0</v>
      </c>
    </row>
    <row r="6" spans="1:7" s="10" customFormat="1" ht="14.25" outlineLevel="1" x14ac:dyDescent="0.2">
      <c r="A6" s="146">
        <v>1.02</v>
      </c>
      <c r="B6" s="1" t="s">
        <v>395</v>
      </c>
      <c r="C6" s="2" t="s">
        <v>429</v>
      </c>
      <c r="D6" s="6"/>
      <c r="E6" s="5"/>
      <c r="F6" s="6">
        <f t="shared" si="0"/>
        <v>0</v>
      </c>
    </row>
    <row r="7" spans="1:7" s="10" customFormat="1" ht="38.25" outlineLevel="1" x14ac:dyDescent="0.2">
      <c r="A7" s="146">
        <v>1.03</v>
      </c>
      <c r="B7" s="1" t="s">
        <v>359</v>
      </c>
      <c r="C7" s="2" t="s">
        <v>429</v>
      </c>
      <c r="D7" s="6"/>
      <c r="E7" s="5"/>
      <c r="F7" s="6">
        <f t="shared" si="0"/>
        <v>0</v>
      </c>
    </row>
    <row r="8" spans="1:7" s="10" customFormat="1" ht="38.25" outlineLevel="1" x14ac:dyDescent="0.2">
      <c r="A8" s="146">
        <v>1.04</v>
      </c>
      <c r="B8" s="1" t="s">
        <v>360</v>
      </c>
      <c r="C8" s="2" t="s">
        <v>429</v>
      </c>
      <c r="D8" s="6"/>
      <c r="E8" s="5"/>
      <c r="F8" s="6">
        <f t="shared" si="0"/>
        <v>0</v>
      </c>
    </row>
    <row r="9" spans="1:7" s="10" customFormat="1" ht="25.5" outlineLevel="1" x14ac:dyDescent="0.2">
      <c r="A9" s="146">
        <v>1.05</v>
      </c>
      <c r="B9" s="1" t="s">
        <v>361</v>
      </c>
      <c r="C9" s="2" t="s">
        <v>429</v>
      </c>
      <c r="D9" s="6"/>
      <c r="E9" s="5"/>
      <c r="F9" s="6">
        <f t="shared" si="0"/>
        <v>0</v>
      </c>
    </row>
    <row r="10" spans="1:7" s="10" customFormat="1" ht="38.25" outlineLevel="1" x14ac:dyDescent="0.2">
      <c r="A10" s="146">
        <v>1.06</v>
      </c>
      <c r="B10" s="1" t="s">
        <v>362</v>
      </c>
      <c r="C10" s="2" t="s">
        <v>429</v>
      </c>
      <c r="D10" s="6"/>
      <c r="E10" s="5"/>
      <c r="F10" s="6">
        <f t="shared" si="0"/>
        <v>0</v>
      </c>
    </row>
    <row r="11" spans="1:7" s="10" customFormat="1" ht="51" outlineLevel="1" x14ac:dyDescent="0.2">
      <c r="A11" s="146">
        <v>1.07</v>
      </c>
      <c r="B11" s="1" t="s">
        <v>363</v>
      </c>
      <c r="C11" s="2" t="s">
        <v>429</v>
      </c>
      <c r="D11" s="6"/>
      <c r="E11" s="5"/>
      <c r="F11" s="6">
        <f t="shared" si="0"/>
        <v>0</v>
      </c>
    </row>
    <row r="12" spans="1:7" s="10" customFormat="1" ht="51" outlineLevel="1" x14ac:dyDescent="0.2">
      <c r="A12" s="146">
        <v>1.08</v>
      </c>
      <c r="B12" s="1" t="s">
        <v>396</v>
      </c>
      <c r="C12" s="2" t="s">
        <v>429</v>
      </c>
      <c r="D12" s="6"/>
      <c r="E12" s="5"/>
      <c r="F12" s="6">
        <f t="shared" si="0"/>
        <v>0</v>
      </c>
    </row>
    <row r="13" spans="1:7" s="10" customFormat="1" ht="51" outlineLevel="1" x14ac:dyDescent="0.2">
      <c r="A13" s="146">
        <v>1.0900000000000001</v>
      </c>
      <c r="B13" s="1" t="s">
        <v>364</v>
      </c>
      <c r="C13" s="2" t="s">
        <v>429</v>
      </c>
      <c r="D13" s="6"/>
      <c r="E13" s="5"/>
      <c r="F13" s="6">
        <f t="shared" si="0"/>
        <v>0</v>
      </c>
    </row>
    <row r="14" spans="1:7" s="10" customFormat="1" ht="63.75" outlineLevel="1" x14ac:dyDescent="0.2">
      <c r="A14" s="146">
        <v>1.1000000000000001</v>
      </c>
      <c r="B14" s="1" t="s">
        <v>397</v>
      </c>
      <c r="C14" s="2" t="s">
        <v>429</v>
      </c>
      <c r="D14" s="6"/>
      <c r="E14" s="5"/>
      <c r="F14" s="6">
        <f t="shared" si="0"/>
        <v>0</v>
      </c>
    </row>
    <row r="15" spans="1:7" s="10" customFormat="1" ht="14.25" outlineLevel="1" x14ac:dyDescent="0.2">
      <c r="A15" s="146">
        <v>1.1100000000000001</v>
      </c>
      <c r="B15" s="1" t="s">
        <v>365</v>
      </c>
      <c r="C15" s="2" t="s">
        <v>429</v>
      </c>
      <c r="D15" s="6"/>
      <c r="E15" s="5"/>
      <c r="F15" s="6">
        <f t="shared" si="0"/>
        <v>0</v>
      </c>
    </row>
    <row r="16" spans="1:7" s="10" customFormat="1" ht="38.25" outlineLevel="1" x14ac:dyDescent="0.2">
      <c r="A16" s="146">
        <v>1.1200000000000001</v>
      </c>
      <c r="B16" s="1" t="s">
        <v>398</v>
      </c>
      <c r="C16" s="2" t="s">
        <v>429</v>
      </c>
      <c r="D16" s="6"/>
      <c r="E16" s="5"/>
      <c r="F16" s="6">
        <f t="shared" si="0"/>
        <v>0</v>
      </c>
    </row>
    <row r="17" spans="1:6" s="10" customFormat="1" ht="63.75" outlineLevel="1" x14ac:dyDescent="0.2">
      <c r="A17" s="146">
        <v>1.1299999999999999</v>
      </c>
      <c r="B17" s="1" t="s">
        <v>366</v>
      </c>
      <c r="C17" s="2" t="s">
        <v>429</v>
      </c>
      <c r="D17" s="6"/>
      <c r="E17" s="5"/>
      <c r="F17" s="6">
        <f t="shared" si="0"/>
        <v>0</v>
      </c>
    </row>
    <row r="18" spans="1:6" s="10" customFormat="1" ht="63.75" outlineLevel="1" x14ac:dyDescent="0.2">
      <c r="A18" s="146">
        <v>1.1399999999999999</v>
      </c>
      <c r="B18" s="1" t="s">
        <v>367</v>
      </c>
      <c r="C18" s="2" t="s">
        <v>429</v>
      </c>
      <c r="D18" s="6"/>
      <c r="E18" s="5"/>
      <c r="F18" s="6">
        <f t="shared" si="0"/>
        <v>0</v>
      </c>
    </row>
    <row r="19" spans="1:6" s="10" customFormat="1" ht="63.75" outlineLevel="1" x14ac:dyDescent="0.2">
      <c r="A19" s="146">
        <v>1.1499999999999999</v>
      </c>
      <c r="B19" s="1" t="s">
        <v>399</v>
      </c>
      <c r="C19" s="2" t="s">
        <v>429</v>
      </c>
      <c r="D19" s="6"/>
      <c r="E19" s="5"/>
      <c r="F19" s="6">
        <f t="shared" si="0"/>
        <v>0</v>
      </c>
    </row>
    <row r="20" spans="1:6" s="10" customFormat="1" ht="63.75" outlineLevel="1" x14ac:dyDescent="0.2">
      <c r="A20" s="146">
        <v>1.1599999999999999</v>
      </c>
      <c r="B20" s="1" t="s">
        <v>400</v>
      </c>
      <c r="C20" s="2" t="s">
        <v>429</v>
      </c>
      <c r="D20" s="6"/>
      <c r="E20" s="5"/>
      <c r="F20" s="6">
        <f t="shared" si="0"/>
        <v>0</v>
      </c>
    </row>
    <row r="21" spans="1:6" s="10" customFormat="1" ht="25.5" outlineLevel="1" x14ac:dyDescent="0.2">
      <c r="A21" s="146">
        <v>1.17</v>
      </c>
      <c r="B21" s="1" t="s">
        <v>368</v>
      </c>
      <c r="C21" s="2" t="s">
        <v>429</v>
      </c>
      <c r="D21" s="6"/>
      <c r="E21" s="5"/>
      <c r="F21" s="6">
        <f t="shared" si="0"/>
        <v>0</v>
      </c>
    </row>
    <row r="22" spans="1:6" s="10" customFormat="1" ht="63.75" outlineLevel="1" x14ac:dyDescent="0.2">
      <c r="A22" s="146">
        <v>1.18</v>
      </c>
      <c r="B22" s="1" t="s">
        <v>369</v>
      </c>
      <c r="C22" s="2" t="s">
        <v>429</v>
      </c>
      <c r="D22" s="6"/>
      <c r="E22" s="5"/>
      <c r="F22" s="6">
        <f t="shared" si="0"/>
        <v>0</v>
      </c>
    </row>
    <row r="23" spans="1:6" s="10" customFormat="1" ht="38.25" outlineLevel="1" x14ac:dyDescent="0.2">
      <c r="A23" s="146">
        <v>1.19</v>
      </c>
      <c r="B23" s="1" t="s">
        <v>370</v>
      </c>
      <c r="C23" s="2" t="s">
        <v>429</v>
      </c>
      <c r="D23" s="6"/>
      <c r="E23" s="5"/>
      <c r="F23" s="6">
        <f t="shared" si="0"/>
        <v>0</v>
      </c>
    </row>
    <row r="24" spans="1:6" s="10" customFormat="1" ht="38.25" outlineLevel="1" x14ac:dyDescent="0.2">
      <c r="A24" s="146">
        <v>1.2</v>
      </c>
      <c r="B24" s="1" t="s">
        <v>401</v>
      </c>
      <c r="C24" s="2" t="s">
        <v>429</v>
      </c>
      <c r="D24" s="6"/>
      <c r="E24" s="5"/>
      <c r="F24" s="6">
        <f t="shared" si="0"/>
        <v>0</v>
      </c>
    </row>
    <row r="25" spans="1:6" s="10" customFormat="1" ht="25.5" outlineLevel="1" x14ac:dyDescent="0.2">
      <c r="A25" s="146">
        <v>1.21</v>
      </c>
      <c r="B25" s="1" t="s">
        <v>402</v>
      </c>
      <c r="C25" s="2" t="s">
        <v>429</v>
      </c>
      <c r="D25" s="6"/>
      <c r="E25" s="5"/>
      <c r="F25" s="6">
        <f t="shared" si="0"/>
        <v>0</v>
      </c>
    </row>
    <row r="26" spans="1:6" s="10" customFormat="1" ht="51" outlineLevel="1" x14ac:dyDescent="0.2">
      <c r="A26" s="146">
        <v>1.22</v>
      </c>
      <c r="B26" s="1" t="s">
        <v>403</v>
      </c>
      <c r="C26" s="2" t="s">
        <v>429</v>
      </c>
      <c r="D26" s="6"/>
      <c r="E26" s="5"/>
      <c r="F26" s="6">
        <f t="shared" si="0"/>
        <v>0</v>
      </c>
    </row>
    <row r="27" spans="1:6" s="10" customFormat="1" ht="51" outlineLevel="1" x14ac:dyDescent="0.2">
      <c r="A27" s="146">
        <v>1.23</v>
      </c>
      <c r="B27" s="1" t="s">
        <v>404</v>
      </c>
      <c r="C27" s="2" t="s">
        <v>429</v>
      </c>
      <c r="D27" s="6"/>
      <c r="E27" s="5"/>
      <c r="F27" s="6">
        <f t="shared" si="0"/>
        <v>0</v>
      </c>
    </row>
    <row r="28" spans="1:6" s="10" customFormat="1" ht="25.5" outlineLevel="1" x14ac:dyDescent="0.2">
      <c r="A28" s="146">
        <v>1.24</v>
      </c>
      <c r="B28" s="1" t="s">
        <v>405</v>
      </c>
      <c r="C28" s="2" t="s">
        <v>429</v>
      </c>
      <c r="D28" s="6"/>
      <c r="E28" s="5"/>
      <c r="F28" s="6">
        <f t="shared" si="0"/>
        <v>0</v>
      </c>
    </row>
    <row r="29" spans="1:6" s="10" customFormat="1" ht="25.5" outlineLevel="1" x14ac:dyDescent="0.2">
      <c r="A29" s="146">
        <v>1.25</v>
      </c>
      <c r="B29" s="1" t="s">
        <v>371</v>
      </c>
      <c r="C29" s="2" t="s">
        <v>429</v>
      </c>
      <c r="D29" s="6"/>
      <c r="E29" s="5"/>
      <c r="F29" s="6">
        <f t="shared" si="0"/>
        <v>0</v>
      </c>
    </row>
    <row r="30" spans="1:6" s="10" customFormat="1" ht="38.25" outlineLevel="1" x14ac:dyDescent="0.2">
      <c r="A30" s="146">
        <v>1.26</v>
      </c>
      <c r="B30" s="1" t="s">
        <v>372</v>
      </c>
      <c r="C30" s="2" t="s">
        <v>429</v>
      </c>
      <c r="D30" s="6"/>
      <c r="E30" s="5"/>
      <c r="F30" s="6">
        <f t="shared" si="0"/>
        <v>0</v>
      </c>
    </row>
    <row r="31" spans="1:6" s="10" customFormat="1" ht="51" outlineLevel="1" x14ac:dyDescent="0.2">
      <c r="A31" s="146">
        <v>1.27</v>
      </c>
      <c r="B31" s="1" t="s">
        <v>373</v>
      </c>
      <c r="C31" s="2" t="s">
        <v>429</v>
      </c>
      <c r="D31" s="6"/>
      <c r="E31" s="5"/>
      <c r="F31" s="6">
        <f t="shared" si="0"/>
        <v>0</v>
      </c>
    </row>
    <row r="32" spans="1:6" s="10" customFormat="1" ht="14.25" outlineLevel="1" x14ac:dyDescent="0.2">
      <c r="A32" s="146">
        <v>1.28</v>
      </c>
      <c r="B32" s="1" t="s">
        <v>406</v>
      </c>
      <c r="C32" s="2" t="s">
        <v>429</v>
      </c>
      <c r="D32" s="6"/>
      <c r="E32" s="5"/>
      <c r="F32" s="6">
        <f t="shared" si="0"/>
        <v>0</v>
      </c>
    </row>
    <row r="33" spans="1:7" s="10" customFormat="1" ht="14.25" outlineLevel="1" x14ac:dyDescent="0.2">
      <c r="A33" s="146">
        <v>1.29</v>
      </c>
      <c r="B33" s="1" t="s">
        <v>374</v>
      </c>
      <c r="C33" s="2" t="s">
        <v>429</v>
      </c>
      <c r="D33" s="6"/>
      <c r="E33" s="5"/>
      <c r="F33" s="6">
        <f t="shared" si="0"/>
        <v>0</v>
      </c>
    </row>
    <row r="34" spans="1:7" s="10" customFormat="1" ht="38.25" outlineLevel="1" x14ac:dyDescent="0.2">
      <c r="A34" s="146">
        <v>1.3</v>
      </c>
      <c r="B34" s="1" t="s">
        <v>375</v>
      </c>
      <c r="C34" s="2" t="s">
        <v>429</v>
      </c>
      <c r="D34" s="6"/>
      <c r="E34" s="5"/>
      <c r="F34" s="6">
        <f t="shared" si="0"/>
        <v>0</v>
      </c>
    </row>
    <row r="35" spans="1:7" s="10" customFormat="1" ht="25.5" outlineLevel="1" x14ac:dyDescent="0.2">
      <c r="A35" s="146">
        <v>1.31</v>
      </c>
      <c r="B35" s="1" t="s">
        <v>376</v>
      </c>
      <c r="C35" s="2" t="s">
        <v>429</v>
      </c>
      <c r="D35" s="6"/>
      <c r="E35" s="5"/>
      <c r="F35" s="6">
        <f t="shared" si="0"/>
        <v>0</v>
      </c>
    </row>
    <row r="36" spans="1:7" s="10" customFormat="1" ht="25.5" outlineLevel="1" x14ac:dyDescent="0.2">
      <c r="A36" s="146">
        <v>1.32</v>
      </c>
      <c r="B36" s="1" t="s">
        <v>377</v>
      </c>
      <c r="C36" s="2" t="s">
        <v>429</v>
      </c>
      <c r="D36" s="6"/>
      <c r="E36" s="5"/>
      <c r="F36" s="6">
        <f t="shared" si="0"/>
        <v>0</v>
      </c>
    </row>
    <row r="37" spans="1:7" s="10" customFormat="1" ht="25.5" outlineLevel="1" x14ac:dyDescent="0.2">
      <c r="A37" s="146">
        <v>1.33</v>
      </c>
      <c r="B37" s="1" t="s">
        <v>378</v>
      </c>
      <c r="C37" s="2" t="s">
        <v>429</v>
      </c>
      <c r="D37" s="6"/>
      <c r="E37" s="5"/>
      <c r="F37" s="6">
        <f t="shared" si="0"/>
        <v>0</v>
      </c>
    </row>
    <row r="38" spans="1:7" s="10" customFormat="1" ht="51" outlineLevel="1" x14ac:dyDescent="0.2">
      <c r="A38" s="146">
        <v>1.34</v>
      </c>
      <c r="B38" s="1" t="s">
        <v>407</v>
      </c>
      <c r="C38" s="2" t="s">
        <v>429</v>
      </c>
      <c r="D38" s="6"/>
      <c r="E38" s="5"/>
      <c r="F38" s="6">
        <f t="shared" si="0"/>
        <v>0</v>
      </c>
    </row>
    <row r="39" spans="1:7" s="10" customFormat="1" ht="127.5" outlineLevel="1" x14ac:dyDescent="0.2">
      <c r="A39" s="146"/>
      <c r="B39" s="1" t="s">
        <v>431</v>
      </c>
      <c r="C39" s="2"/>
      <c r="D39" s="6"/>
      <c r="E39" s="5"/>
      <c r="F39" s="6">
        <f t="shared" si="0"/>
        <v>0</v>
      </c>
    </row>
    <row r="40" spans="1:7" s="10" customFormat="1" outlineLevel="1" x14ac:dyDescent="0.2">
      <c r="A40" s="146"/>
      <c r="B40" s="1"/>
      <c r="C40" s="2"/>
      <c r="D40" s="6"/>
      <c r="E40" s="5"/>
      <c r="F40" s="6">
        <f t="shared" ref="F40" si="1">IFERROR(E40*D40,0)</f>
        <v>0</v>
      </c>
      <c r="G40" s="36"/>
    </row>
    <row r="41" spans="1:7" s="10" customFormat="1" outlineLevel="1" x14ac:dyDescent="0.2">
      <c r="A41" s="146"/>
      <c r="B41" s="1"/>
      <c r="C41" s="2"/>
      <c r="D41" s="6"/>
      <c r="E41" s="5"/>
      <c r="F41" s="6">
        <f t="shared" si="0"/>
        <v>0</v>
      </c>
      <c r="G41" s="36"/>
    </row>
    <row r="42" spans="1:7" s="10" customFormat="1" outlineLevel="1" x14ac:dyDescent="0.2">
      <c r="A42" s="146"/>
      <c r="B42" s="1"/>
      <c r="C42" s="2"/>
      <c r="D42" s="6"/>
      <c r="E42" s="5"/>
      <c r="F42" s="6">
        <f t="shared" si="0"/>
        <v>0</v>
      </c>
      <c r="G42" s="36"/>
    </row>
    <row r="43" spans="1:7" s="10" customFormat="1" outlineLevel="1" x14ac:dyDescent="0.2">
      <c r="A43" s="146"/>
      <c r="B43" s="1"/>
      <c r="C43" s="2"/>
      <c r="D43" s="6"/>
      <c r="E43" s="5"/>
      <c r="F43" s="6">
        <f t="shared" ref="F43:F44" si="2">IFERROR(E43*D43,0)</f>
        <v>0</v>
      </c>
      <c r="G43" s="36"/>
    </row>
    <row r="44" spans="1:7" s="10" customFormat="1" outlineLevel="1" x14ac:dyDescent="0.2">
      <c r="A44" s="146"/>
      <c r="B44" s="1"/>
      <c r="C44" s="2"/>
      <c r="D44" s="6"/>
      <c r="E44" s="5"/>
      <c r="F44" s="6">
        <f t="shared" si="2"/>
        <v>0</v>
      </c>
      <c r="G44" s="36"/>
    </row>
    <row r="45" spans="1:7" s="10" customFormat="1" outlineLevel="1" x14ac:dyDescent="0.2">
      <c r="A45" s="146"/>
      <c r="B45" s="1"/>
      <c r="C45" s="2"/>
      <c r="D45" s="6"/>
      <c r="E45" s="5"/>
      <c r="F45" s="6"/>
      <c r="G45" s="36"/>
    </row>
    <row r="46" spans="1:7" s="10" customFormat="1" outlineLevel="1" x14ac:dyDescent="0.2">
      <c r="A46" s="146"/>
      <c r="B46" s="1"/>
      <c r="C46" s="2"/>
      <c r="D46" s="6"/>
      <c r="E46" s="5"/>
      <c r="F46" s="6"/>
      <c r="G46" s="36"/>
    </row>
    <row r="47" spans="1:7" s="10" customFormat="1" outlineLevel="1" x14ac:dyDescent="0.2">
      <c r="A47" s="146"/>
      <c r="B47" s="1"/>
      <c r="C47" s="2"/>
      <c r="D47" s="6"/>
      <c r="E47" s="5"/>
      <c r="F47" s="6"/>
      <c r="G47" s="36"/>
    </row>
    <row r="48" spans="1:7" s="10" customFormat="1" outlineLevel="1" x14ac:dyDescent="0.2">
      <c r="A48" s="146"/>
      <c r="B48" s="1"/>
      <c r="C48" s="2"/>
      <c r="D48" s="6"/>
      <c r="E48" s="5"/>
      <c r="F48" s="6"/>
      <c r="G48" s="36"/>
    </row>
    <row r="49" spans="1:7" s="10" customFormat="1" outlineLevel="1" x14ac:dyDescent="0.2">
      <c r="A49" s="146"/>
      <c r="B49" s="1"/>
      <c r="C49" s="2"/>
      <c r="D49" s="6"/>
      <c r="E49" s="5"/>
      <c r="F49" s="6"/>
      <c r="G49" s="36"/>
    </row>
    <row r="50" spans="1:7" s="10" customFormat="1" outlineLevel="1" x14ac:dyDescent="0.2">
      <c r="A50" s="146"/>
      <c r="B50" s="1"/>
      <c r="C50" s="2"/>
      <c r="D50" s="6"/>
      <c r="E50" s="5"/>
      <c r="F50" s="6"/>
      <c r="G50" s="36"/>
    </row>
    <row r="51" spans="1:7" s="10" customFormat="1" outlineLevel="1" x14ac:dyDescent="0.2">
      <c r="A51" s="146"/>
      <c r="B51" s="1"/>
      <c r="C51" s="2"/>
      <c r="D51" s="6"/>
      <c r="E51" s="5"/>
      <c r="F51" s="6"/>
      <c r="G51" s="36"/>
    </row>
    <row r="52" spans="1:7" s="10" customFormat="1" outlineLevel="1" x14ac:dyDescent="0.2">
      <c r="A52" s="146"/>
      <c r="B52" s="1"/>
      <c r="C52" s="2"/>
      <c r="D52" s="6"/>
      <c r="E52" s="5"/>
      <c r="F52" s="6"/>
      <c r="G52" s="36"/>
    </row>
    <row r="53" spans="1:7" s="10" customFormat="1" outlineLevel="1" x14ac:dyDescent="0.2">
      <c r="A53" s="146"/>
      <c r="B53" s="1"/>
      <c r="C53" s="2"/>
      <c r="D53" s="6"/>
      <c r="E53" s="5"/>
      <c r="F53" s="6"/>
      <c r="G53" s="36"/>
    </row>
    <row r="54" spans="1:7" s="10" customFormat="1" outlineLevel="1" x14ac:dyDescent="0.2">
      <c r="A54" s="146"/>
      <c r="B54" s="1"/>
      <c r="C54" s="2"/>
      <c r="D54" s="6"/>
      <c r="E54" s="5"/>
      <c r="F54" s="6"/>
      <c r="G54" s="36"/>
    </row>
    <row r="55" spans="1:7" s="10" customFormat="1" outlineLevel="1" x14ac:dyDescent="0.2">
      <c r="A55" s="146"/>
      <c r="B55" s="1"/>
      <c r="C55" s="2"/>
      <c r="D55" s="6"/>
      <c r="E55" s="5"/>
      <c r="F55" s="6"/>
      <c r="G55" s="36"/>
    </row>
    <row r="56" spans="1:7" s="10" customFormat="1" outlineLevel="1" x14ac:dyDescent="0.2">
      <c r="A56" s="146"/>
      <c r="B56" s="1"/>
      <c r="C56" s="2"/>
      <c r="D56" s="6"/>
      <c r="E56" s="5"/>
      <c r="F56" s="6">
        <f t="shared" si="0"/>
        <v>0</v>
      </c>
      <c r="G56" s="36"/>
    </row>
    <row r="57" spans="1:7" s="10" customFormat="1" outlineLevel="1" x14ac:dyDescent="0.2">
      <c r="A57" s="146"/>
      <c r="B57" s="1"/>
      <c r="C57" s="2"/>
      <c r="D57" s="6"/>
      <c r="E57" s="5"/>
      <c r="F57" s="6">
        <f t="shared" si="0"/>
        <v>0</v>
      </c>
      <c r="G57" s="36"/>
    </row>
    <row r="58" spans="1:7" s="10" customFormat="1" outlineLevel="1" x14ac:dyDescent="0.2">
      <c r="A58" s="146"/>
      <c r="B58" s="1"/>
      <c r="C58" s="2"/>
      <c r="D58" s="6"/>
      <c r="E58" s="5"/>
      <c r="F58" s="6">
        <f t="shared" ref="F58:F59" si="3">IFERROR(E58*D58,0)</f>
        <v>0</v>
      </c>
      <c r="G58" s="36"/>
    </row>
    <row r="59" spans="1:7" s="10" customFormat="1" outlineLevel="1" x14ac:dyDescent="0.2">
      <c r="A59" s="146"/>
      <c r="B59" s="1"/>
      <c r="C59" s="2"/>
      <c r="D59" s="6"/>
      <c r="E59" s="5"/>
      <c r="F59" s="6">
        <f t="shared" si="3"/>
        <v>0</v>
      </c>
      <c r="G59" s="36"/>
    </row>
    <row r="60" spans="1:7" s="10" customFormat="1" outlineLevel="1" x14ac:dyDescent="0.2">
      <c r="A60" s="146"/>
      <c r="B60" s="1"/>
      <c r="C60" s="2"/>
      <c r="D60" s="6"/>
      <c r="E60" s="5"/>
      <c r="F60" s="6">
        <f t="shared" si="0"/>
        <v>0</v>
      </c>
      <c r="G60" s="36"/>
    </row>
    <row r="61" spans="1:7" s="10" customFormat="1" outlineLevel="1" x14ac:dyDescent="0.2">
      <c r="A61" s="146"/>
      <c r="B61" s="1"/>
      <c r="C61" s="2"/>
      <c r="D61" s="6"/>
      <c r="E61" s="5"/>
      <c r="F61" s="6">
        <f t="shared" si="0"/>
        <v>0</v>
      </c>
      <c r="G61" s="36"/>
    </row>
    <row r="62" spans="1:7" s="10" customFormat="1" outlineLevel="1" x14ac:dyDescent="0.2">
      <c r="A62" s="146"/>
      <c r="B62" s="1"/>
      <c r="C62" s="2"/>
      <c r="D62" s="6"/>
      <c r="E62" s="5"/>
      <c r="F62" s="6">
        <f t="shared" ref="F62:F63" si="4">IFERROR(E62*D62,0)</f>
        <v>0</v>
      </c>
      <c r="G62" s="36"/>
    </row>
    <row r="63" spans="1:7" s="10" customFormat="1" outlineLevel="1" x14ac:dyDescent="0.2">
      <c r="A63" s="146"/>
      <c r="B63" s="1"/>
      <c r="C63" s="2"/>
      <c r="D63" s="6"/>
      <c r="E63" s="5"/>
      <c r="F63" s="6">
        <f t="shared" si="4"/>
        <v>0</v>
      </c>
      <c r="G63" s="36"/>
    </row>
    <row r="64" spans="1:7" s="10" customFormat="1" outlineLevel="1" x14ac:dyDescent="0.2">
      <c r="A64" s="146"/>
      <c r="B64" s="1"/>
      <c r="C64" s="2"/>
      <c r="D64" s="6"/>
      <c r="E64" s="5"/>
      <c r="F64" s="6">
        <f t="shared" si="0"/>
        <v>0</v>
      </c>
      <c r="G64" s="36"/>
    </row>
    <row r="65" spans="1:7" s="10" customFormat="1" outlineLevel="1" x14ac:dyDescent="0.2">
      <c r="A65" s="146"/>
      <c r="B65" s="1"/>
      <c r="C65" s="2"/>
      <c r="D65" s="6"/>
      <c r="E65" s="5"/>
      <c r="F65" s="6">
        <f t="shared" ref="F65:F67" si="5">IFERROR(E65*D65,0)</f>
        <v>0</v>
      </c>
      <c r="G65" s="36"/>
    </row>
    <row r="66" spans="1:7" s="10" customFormat="1" outlineLevel="1" x14ac:dyDescent="0.2">
      <c r="A66" s="146"/>
      <c r="B66" s="1"/>
      <c r="C66" s="2"/>
      <c r="D66" s="6"/>
      <c r="E66" s="5"/>
      <c r="F66" s="6">
        <f t="shared" si="5"/>
        <v>0</v>
      </c>
      <c r="G66" s="36"/>
    </row>
    <row r="67" spans="1:7" s="10" customFormat="1" outlineLevel="1" x14ac:dyDescent="0.2">
      <c r="A67" s="146"/>
      <c r="B67" s="1"/>
      <c r="C67" s="2"/>
      <c r="D67" s="6"/>
      <c r="E67" s="5"/>
      <c r="F67" s="6">
        <f t="shared" si="5"/>
        <v>0</v>
      </c>
      <c r="G67" s="36"/>
    </row>
    <row r="68" spans="1:7" s="10" customFormat="1" outlineLevel="1" x14ac:dyDescent="0.2">
      <c r="A68" s="146"/>
      <c r="B68" s="1"/>
      <c r="C68" s="2"/>
      <c r="D68" s="6"/>
      <c r="E68" s="5"/>
      <c r="F68" s="6">
        <f t="shared" ref="F68" si="6">IFERROR(E68*D68,0)</f>
        <v>0</v>
      </c>
      <c r="G68" s="36"/>
    </row>
    <row r="69" spans="1:7" s="10" customFormat="1" ht="24.95" customHeight="1" x14ac:dyDescent="0.2">
      <c r="A69" s="147"/>
      <c r="B69" s="127" t="s">
        <v>379</v>
      </c>
      <c r="C69" s="96"/>
      <c r="D69" s="97"/>
      <c r="E69" s="97"/>
      <c r="F69" s="98">
        <f>SUM(F5:F68)</f>
        <v>0</v>
      </c>
      <c r="G69" s="36"/>
    </row>
    <row r="70" spans="1:7" s="13" customFormat="1" ht="24.95" customHeight="1" outlineLevel="1" x14ac:dyDescent="0.2">
      <c r="A70" s="11"/>
      <c r="B70" s="126" t="s">
        <v>79</v>
      </c>
      <c r="C70" s="11"/>
      <c r="D70" s="12"/>
      <c r="E70" s="12"/>
      <c r="F70" s="12"/>
    </row>
    <row r="71" spans="1:7" s="10" customFormat="1" ht="51" outlineLevel="1" x14ac:dyDescent="0.2">
      <c r="A71" s="146">
        <v>2.0099999999999998</v>
      </c>
      <c r="B71" s="1" t="s">
        <v>387</v>
      </c>
      <c r="C71" s="2"/>
      <c r="D71" s="6"/>
      <c r="E71" s="5"/>
      <c r="F71" s="6">
        <f t="shared" ref="F71:F99" si="7">IFERROR(E71*D71,0)</f>
        <v>0</v>
      </c>
    </row>
    <row r="72" spans="1:7" s="10" customFormat="1" ht="14.25" outlineLevel="1" x14ac:dyDescent="0.2">
      <c r="A72" s="148" t="s">
        <v>107</v>
      </c>
      <c r="B72" s="99" t="s">
        <v>570</v>
      </c>
      <c r="C72" s="92" t="s">
        <v>419</v>
      </c>
      <c r="D72" s="6"/>
      <c r="E72" s="5"/>
      <c r="F72" s="6">
        <f t="shared" si="7"/>
        <v>0</v>
      </c>
    </row>
    <row r="73" spans="1:7" s="10" customFormat="1" ht="14.25" outlineLevel="1" x14ac:dyDescent="0.2">
      <c r="A73" s="148" t="s">
        <v>108</v>
      </c>
      <c r="B73" s="99" t="s">
        <v>357</v>
      </c>
      <c r="C73" s="92" t="s">
        <v>111</v>
      </c>
      <c r="D73" s="6"/>
      <c r="E73" s="5"/>
      <c r="F73" s="6">
        <f t="shared" si="7"/>
        <v>0</v>
      </c>
    </row>
    <row r="74" spans="1:7" s="10" customFormat="1" ht="14.25" outlineLevel="1" x14ac:dyDescent="0.2">
      <c r="A74" s="148" t="s">
        <v>109</v>
      </c>
      <c r="B74" s="99" t="s">
        <v>573</v>
      </c>
      <c r="C74" s="92" t="s">
        <v>104</v>
      </c>
      <c r="D74" s="6"/>
      <c r="E74" s="5"/>
      <c r="F74" s="6">
        <f t="shared" si="7"/>
        <v>0</v>
      </c>
    </row>
    <row r="75" spans="1:7" s="10" customFormat="1" ht="14.25" outlineLevel="1" x14ac:dyDescent="0.2">
      <c r="A75" s="146">
        <v>2.02</v>
      </c>
      <c r="B75" s="1" t="s">
        <v>388</v>
      </c>
      <c r="C75" s="2" t="s">
        <v>100</v>
      </c>
      <c r="D75" s="6"/>
      <c r="E75" s="5"/>
      <c r="F75" s="6">
        <f t="shared" si="7"/>
        <v>0</v>
      </c>
    </row>
    <row r="76" spans="1:7" s="10" customFormat="1" ht="14.25" outlineLevel="1" x14ac:dyDescent="0.2">
      <c r="A76" s="146"/>
      <c r="B76" s="132" t="s">
        <v>472</v>
      </c>
      <c r="C76" s="2"/>
      <c r="D76" s="6"/>
      <c r="E76" s="5"/>
      <c r="F76" s="6">
        <f t="shared" si="7"/>
        <v>0</v>
      </c>
    </row>
    <row r="77" spans="1:7" s="10" customFormat="1" ht="14.25" outlineLevel="1" x14ac:dyDescent="0.2">
      <c r="A77" s="148" t="s">
        <v>107</v>
      </c>
      <c r="B77" s="99" t="s">
        <v>473</v>
      </c>
      <c r="C77" s="92" t="s">
        <v>104</v>
      </c>
      <c r="D77" s="133"/>
      <c r="E77" s="134"/>
      <c r="F77" s="6">
        <f t="shared" si="7"/>
        <v>0</v>
      </c>
    </row>
    <row r="78" spans="1:7" s="10" customFormat="1" ht="14.25" outlineLevel="1" x14ac:dyDescent="0.2">
      <c r="A78" s="148" t="s">
        <v>108</v>
      </c>
      <c r="B78" s="99" t="s">
        <v>474</v>
      </c>
      <c r="C78" s="92" t="s">
        <v>104</v>
      </c>
      <c r="D78" s="133"/>
      <c r="E78" s="134"/>
      <c r="F78" s="6">
        <f t="shared" si="7"/>
        <v>0</v>
      </c>
    </row>
    <row r="79" spans="1:7" s="10" customFormat="1" ht="14.25" outlineLevel="1" x14ac:dyDescent="0.2">
      <c r="A79" s="148" t="s">
        <v>109</v>
      </c>
      <c r="B79" s="99" t="s">
        <v>475</v>
      </c>
      <c r="C79" s="92" t="s">
        <v>104</v>
      </c>
      <c r="D79" s="133"/>
      <c r="E79" s="134"/>
      <c r="F79" s="6">
        <f t="shared" si="7"/>
        <v>0</v>
      </c>
    </row>
    <row r="80" spans="1:7" s="10" customFormat="1" ht="14.25" outlineLevel="1" x14ac:dyDescent="0.2">
      <c r="A80" s="148" t="s">
        <v>110</v>
      </c>
      <c r="B80" s="99" t="s">
        <v>476</v>
      </c>
      <c r="C80" s="92" t="s">
        <v>104</v>
      </c>
      <c r="D80" s="133"/>
      <c r="E80" s="134"/>
      <c r="F80" s="6">
        <f t="shared" si="7"/>
        <v>0</v>
      </c>
    </row>
    <row r="81" spans="1:6" s="10" customFormat="1" ht="38.25" outlineLevel="1" x14ac:dyDescent="0.2">
      <c r="A81" s="146">
        <v>2.0299999999999998</v>
      </c>
      <c r="B81" s="1" t="s">
        <v>477</v>
      </c>
      <c r="C81" s="2" t="s">
        <v>426</v>
      </c>
      <c r="D81" s="6"/>
      <c r="E81" s="5"/>
      <c r="F81" s="6">
        <f t="shared" si="7"/>
        <v>0</v>
      </c>
    </row>
    <row r="82" spans="1:6" s="10" customFormat="1" ht="38.25" outlineLevel="1" x14ac:dyDescent="0.2">
      <c r="A82" s="146">
        <v>2.04</v>
      </c>
      <c r="B82" s="1" t="s">
        <v>463</v>
      </c>
      <c r="C82" s="2" t="s">
        <v>426</v>
      </c>
      <c r="D82" s="6"/>
      <c r="E82" s="5"/>
      <c r="F82" s="6">
        <f t="shared" ref="F82" si="8">IFERROR(E82*D82,0)</f>
        <v>0</v>
      </c>
    </row>
    <row r="83" spans="1:6" s="10" customFormat="1" ht="51" outlineLevel="1" x14ac:dyDescent="0.2">
      <c r="A83" s="146">
        <v>2.0499999999999998</v>
      </c>
      <c r="B83" s="1" t="s">
        <v>504</v>
      </c>
      <c r="C83" s="2" t="s">
        <v>426</v>
      </c>
      <c r="D83" s="6"/>
      <c r="E83" s="5"/>
      <c r="F83" s="6">
        <f>IFERROR(E83*D83,0)</f>
        <v>0</v>
      </c>
    </row>
    <row r="84" spans="1:6" s="10" customFormat="1" ht="38.25" outlineLevel="1" x14ac:dyDescent="0.2">
      <c r="A84" s="146">
        <v>2.06</v>
      </c>
      <c r="B84" s="1" t="s">
        <v>113</v>
      </c>
      <c r="C84" s="30" t="s">
        <v>420</v>
      </c>
      <c r="D84" s="6"/>
      <c r="E84" s="5"/>
      <c r="F84" s="6">
        <f t="shared" si="7"/>
        <v>0</v>
      </c>
    </row>
    <row r="85" spans="1:6" s="10" customFormat="1" ht="38.25" outlineLevel="1" x14ac:dyDescent="0.2">
      <c r="A85" s="146">
        <v>2.0699999999999998</v>
      </c>
      <c r="B85" s="1" t="s">
        <v>421</v>
      </c>
      <c r="C85" s="30" t="s">
        <v>420</v>
      </c>
      <c r="D85" s="6"/>
      <c r="E85" s="5"/>
      <c r="F85" s="6">
        <f t="shared" si="7"/>
        <v>0</v>
      </c>
    </row>
    <row r="86" spans="1:6" s="10" customFormat="1" ht="25.5" outlineLevel="1" x14ac:dyDescent="0.2">
      <c r="A86" s="146">
        <v>2.08</v>
      </c>
      <c r="B86" s="1" t="s">
        <v>422</v>
      </c>
      <c r="C86" s="30" t="s">
        <v>423</v>
      </c>
      <c r="D86" s="6"/>
      <c r="E86" s="5"/>
      <c r="F86" s="6">
        <f t="shared" si="7"/>
        <v>0</v>
      </c>
    </row>
    <row r="87" spans="1:6" s="10" customFormat="1" ht="25.5" outlineLevel="1" x14ac:dyDescent="0.2">
      <c r="A87" s="146">
        <v>2.09</v>
      </c>
      <c r="B87" s="1" t="s">
        <v>424</v>
      </c>
      <c r="C87" s="30" t="s">
        <v>423</v>
      </c>
      <c r="D87" s="6"/>
      <c r="E87" s="5"/>
      <c r="F87" s="6">
        <f t="shared" si="7"/>
        <v>0</v>
      </c>
    </row>
    <row r="88" spans="1:6" s="10" customFormat="1" ht="38.25" outlineLevel="1" x14ac:dyDescent="0.2">
      <c r="A88" s="146">
        <v>2.1</v>
      </c>
      <c r="B88" s="1" t="s">
        <v>425</v>
      </c>
      <c r="C88" s="2" t="s">
        <v>426</v>
      </c>
      <c r="D88" s="6"/>
      <c r="E88" s="5"/>
      <c r="F88" s="6">
        <f t="shared" si="7"/>
        <v>0</v>
      </c>
    </row>
    <row r="89" spans="1:6" s="10" customFormat="1" ht="38.25" outlineLevel="1" x14ac:dyDescent="0.2">
      <c r="A89" s="146">
        <v>2.11</v>
      </c>
      <c r="B89" s="1" t="s">
        <v>462</v>
      </c>
      <c r="C89" s="2" t="s">
        <v>426</v>
      </c>
      <c r="D89" s="6"/>
      <c r="E89" s="5"/>
      <c r="F89" s="6">
        <f t="shared" si="7"/>
        <v>0</v>
      </c>
    </row>
    <row r="90" spans="1:6" s="10" customFormat="1" ht="38.25" outlineLevel="1" x14ac:dyDescent="0.2">
      <c r="A90" s="146">
        <v>2.12</v>
      </c>
      <c r="B90" s="1" t="s">
        <v>464</v>
      </c>
      <c r="C90" s="2" t="s">
        <v>426</v>
      </c>
      <c r="D90" s="6"/>
      <c r="E90" s="5"/>
      <c r="F90" s="6">
        <f t="shared" ref="F90" si="9">IFERROR(E90*D90,0)</f>
        <v>0</v>
      </c>
    </row>
    <row r="91" spans="1:6" s="10" customFormat="1" ht="63.75" outlineLevel="1" x14ac:dyDescent="0.2">
      <c r="A91" s="146">
        <v>2.13</v>
      </c>
      <c r="B91" s="1" t="s">
        <v>590</v>
      </c>
      <c r="C91" s="2" t="s">
        <v>426</v>
      </c>
      <c r="D91" s="6"/>
      <c r="E91" s="5"/>
      <c r="F91" s="6">
        <f t="shared" si="7"/>
        <v>0</v>
      </c>
    </row>
    <row r="92" spans="1:6" s="10" customFormat="1" ht="76.5" outlineLevel="1" x14ac:dyDescent="0.2">
      <c r="A92" s="146">
        <v>2.14</v>
      </c>
      <c r="B92" s="1" t="s">
        <v>481</v>
      </c>
      <c r="C92" s="30" t="s">
        <v>420</v>
      </c>
      <c r="D92" s="6"/>
      <c r="E92" s="5"/>
      <c r="F92" s="6">
        <f t="shared" si="7"/>
        <v>0</v>
      </c>
    </row>
    <row r="93" spans="1:6" s="10" customFormat="1" ht="63.75" outlineLevel="1" x14ac:dyDescent="0.2">
      <c r="A93" s="146">
        <v>2.15</v>
      </c>
      <c r="B93" s="1" t="s">
        <v>589</v>
      </c>
      <c r="C93" s="2"/>
      <c r="D93" s="6"/>
      <c r="E93" s="5"/>
      <c r="F93" s="6">
        <f t="shared" si="7"/>
        <v>0</v>
      </c>
    </row>
    <row r="94" spans="1:6" s="10" customFormat="1" ht="38.25" outlineLevel="1" x14ac:dyDescent="0.2">
      <c r="A94" s="149" t="s">
        <v>107</v>
      </c>
      <c r="B94" s="108" t="s">
        <v>115</v>
      </c>
      <c r="C94" s="31" t="s">
        <v>427</v>
      </c>
      <c r="D94" s="6"/>
      <c r="E94" s="5"/>
      <c r="F94" s="6">
        <f t="shared" si="7"/>
        <v>0</v>
      </c>
    </row>
    <row r="95" spans="1:6" s="10" customFormat="1" ht="38.25" outlineLevel="1" x14ac:dyDescent="0.2">
      <c r="A95" s="149" t="s">
        <v>108</v>
      </c>
      <c r="B95" s="108" t="s">
        <v>116</v>
      </c>
      <c r="C95" s="31" t="s">
        <v>427</v>
      </c>
      <c r="D95" s="6"/>
      <c r="E95" s="5"/>
      <c r="F95" s="6">
        <f t="shared" si="7"/>
        <v>0</v>
      </c>
    </row>
    <row r="96" spans="1:6" s="10" customFormat="1" ht="38.25" outlineLevel="1" x14ac:dyDescent="0.2">
      <c r="A96" s="146">
        <v>2.16</v>
      </c>
      <c r="B96" s="1" t="s">
        <v>588</v>
      </c>
      <c r="C96" s="2" t="s">
        <v>428</v>
      </c>
      <c r="D96" s="6"/>
      <c r="E96" s="5"/>
      <c r="F96" s="6">
        <f t="shared" si="7"/>
        <v>0</v>
      </c>
    </row>
    <row r="97" spans="1:6" s="10" customFormat="1" ht="51" outlineLevel="1" x14ac:dyDescent="0.2">
      <c r="A97" s="146">
        <v>2.17</v>
      </c>
      <c r="B97" s="1" t="s">
        <v>478</v>
      </c>
      <c r="C97" s="2" t="s">
        <v>1</v>
      </c>
      <c r="D97" s="6"/>
      <c r="E97" s="5"/>
      <c r="F97" s="6">
        <f t="shared" si="7"/>
        <v>0</v>
      </c>
    </row>
    <row r="98" spans="1:6" s="10" customFormat="1" ht="38.25" outlineLevel="1" x14ac:dyDescent="0.2">
      <c r="A98" s="146">
        <v>2.1800000000000002</v>
      </c>
      <c r="B98" s="1" t="s">
        <v>479</v>
      </c>
      <c r="C98" s="2" t="s">
        <v>428</v>
      </c>
      <c r="D98" s="6"/>
      <c r="E98" s="5"/>
      <c r="F98" s="6">
        <f t="shared" si="7"/>
        <v>0</v>
      </c>
    </row>
    <row r="99" spans="1:6" s="10" customFormat="1" ht="38.25" outlineLevel="1" x14ac:dyDescent="0.2">
      <c r="A99" s="146">
        <v>2.19</v>
      </c>
      <c r="B99" s="1" t="s">
        <v>480</v>
      </c>
      <c r="C99" s="2" t="s">
        <v>428</v>
      </c>
      <c r="D99" s="6"/>
      <c r="E99" s="5"/>
      <c r="F99" s="6">
        <f t="shared" si="7"/>
        <v>0</v>
      </c>
    </row>
    <row r="100" spans="1:6" ht="127.5" outlineLevel="1" x14ac:dyDescent="0.2">
      <c r="A100" s="146"/>
      <c r="B100" s="1" t="s">
        <v>431</v>
      </c>
      <c r="C100" s="2"/>
      <c r="D100" s="6"/>
      <c r="E100" s="5"/>
      <c r="F100" s="6">
        <f t="shared" ref="F100:F108" si="10">IFERROR(E100*D100,0)</f>
        <v>0</v>
      </c>
    </row>
    <row r="101" spans="1:6" ht="14.25" outlineLevel="1" x14ac:dyDescent="0.2">
      <c r="A101" s="146"/>
      <c r="B101" s="1"/>
      <c r="C101" s="2"/>
      <c r="D101" s="6"/>
      <c r="E101" s="5"/>
      <c r="F101" s="6">
        <f t="shared" ref="F101:F107" si="11">IFERROR(E101*D101,0)</f>
        <v>0</v>
      </c>
    </row>
    <row r="102" spans="1:6" ht="14.25" outlineLevel="1" x14ac:dyDescent="0.2">
      <c r="A102" s="146"/>
      <c r="B102" s="1"/>
      <c r="C102" s="2"/>
      <c r="D102" s="6"/>
      <c r="E102" s="5"/>
      <c r="F102" s="6">
        <f t="shared" si="11"/>
        <v>0</v>
      </c>
    </row>
    <row r="103" spans="1:6" ht="14.25" outlineLevel="1" x14ac:dyDescent="0.2">
      <c r="A103" s="146"/>
      <c r="B103" s="1"/>
      <c r="C103" s="2"/>
      <c r="D103" s="6"/>
      <c r="E103" s="5"/>
      <c r="F103" s="6">
        <f t="shared" ref="F103:F104" si="12">IFERROR(E103*D103,0)</f>
        <v>0</v>
      </c>
    </row>
    <row r="104" spans="1:6" ht="14.25" outlineLevel="1" x14ac:dyDescent="0.2">
      <c r="A104" s="146"/>
      <c r="B104" s="1"/>
      <c r="C104" s="2"/>
      <c r="D104" s="6"/>
      <c r="E104" s="5"/>
      <c r="F104" s="6">
        <f t="shared" si="12"/>
        <v>0</v>
      </c>
    </row>
    <row r="105" spans="1:6" ht="14.25" outlineLevel="1" x14ac:dyDescent="0.2">
      <c r="A105" s="146"/>
      <c r="B105" s="1"/>
      <c r="C105" s="2"/>
      <c r="D105" s="6"/>
      <c r="E105" s="5"/>
      <c r="F105" s="6">
        <f t="shared" si="11"/>
        <v>0</v>
      </c>
    </row>
    <row r="106" spans="1:6" ht="14.25" outlineLevel="1" x14ac:dyDescent="0.2">
      <c r="A106" s="146"/>
      <c r="B106" s="1"/>
      <c r="C106" s="2"/>
      <c r="D106" s="6"/>
      <c r="E106" s="5"/>
      <c r="F106" s="6">
        <f t="shared" si="11"/>
        <v>0</v>
      </c>
    </row>
    <row r="107" spans="1:6" ht="14.25" outlineLevel="1" x14ac:dyDescent="0.2">
      <c r="A107" s="146"/>
      <c r="B107" s="1"/>
      <c r="C107" s="2"/>
      <c r="D107" s="6"/>
      <c r="E107" s="5"/>
      <c r="F107" s="6">
        <f t="shared" si="11"/>
        <v>0</v>
      </c>
    </row>
    <row r="108" spans="1:6" ht="14.25" outlineLevel="1" x14ac:dyDescent="0.2">
      <c r="A108" s="146"/>
      <c r="B108" s="1"/>
      <c r="C108" s="2"/>
      <c r="D108" s="6"/>
      <c r="E108" s="5"/>
      <c r="F108" s="6">
        <f t="shared" si="10"/>
        <v>0</v>
      </c>
    </row>
    <row r="109" spans="1:6" s="10" customFormat="1" ht="24.95" customHeight="1" x14ac:dyDescent="0.2">
      <c r="A109" s="147"/>
      <c r="B109" s="127" t="s">
        <v>77</v>
      </c>
      <c r="C109" s="18"/>
      <c r="D109" s="19"/>
      <c r="E109" s="19"/>
      <c r="F109" s="98">
        <f>SUM(F71:F108)</f>
        <v>0</v>
      </c>
    </row>
    <row r="110" spans="1:6" s="13" customFormat="1" ht="24.95" customHeight="1" outlineLevel="1" x14ac:dyDescent="0.2">
      <c r="A110" s="11"/>
      <c r="B110" s="126" t="s">
        <v>81</v>
      </c>
      <c r="C110" s="11"/>
      <c r="D110" s="20"/>
      <c r="E110" s="20"/>
      <c r="F110" s="20"/>
    </row>
    <row r="111" spans="1:6" s="10" customFormat="1" ht="51" outlineLevel="1" x14ac:dyDescent="0.2">
      <c r="A111" s="21">
        <v>3.01</v>
      </c>
      <c r="B111" s="1" t="s">
        <v>587</v>
      </c>
      <c r="C111" s="2" t="s">
        <v>426</v>
      </c>
      <c r="D111" s="5"/>
      <c r="E111" s="5"/>
      <c r="F111" s="6">
        <f>IFERROR(E111*D111,0)</f>
        <v>0</v>
      </c>
    </row>
    <row r="112" spans="1:6" s="10" customFormat="1" ht="51" outlineLevel="1" x14ac:dyDescent="0.2">
      <c r="A112" s="21">
        <v>3.02</v>
      </c>
      <c r="B112" s="1" t="s">
        <v>465</v>
      </c>
      <c r="C112" s="2" t="s">
        <v>426</v>
      </c>
      <c r="D112" s="5"/>
      <c r="E112" s="5"/>
      <c r="F112" s="6">
        <f t="shared" ref="F112:F125" si="13">IFERROR(E112*D112,0)</f>
        <v>0</v>
      </c>
    </row>
    <row r="113" spans="1:6" s="10" customFormat="1" ht="38.25" outlineLevel="1" x14ac:dyDescent="0.2">
      <c r="A113" s="21">
        <v>3.03</v>
      </c>
      <c r="B113" s="1" t="s">
        <v>466</v>
      </c>
      <c r="C113" s="2" t="s">
        <v>426</v>
      </c>
      <c r="D113" s="5"/>
      <c r="E113" s="5"/>
      <c r="F113" s="6">
        <f t="shared" si="13"/>
        <v>0</v>
      </c>
    </row>
    <row r="114" spans="1:6" s="10" customFormat="1" ht="51" outlineLevel="1" x14ac:dyDescent="0.2">
      <c r="A114" s="21">
        <v>3.04</v>
      </c>
      <c r="B114" s="1" t="s">
        <v>482</v>
      </c>
      <c r="C114" s="2" t="s">
        <v>426</v>
      </c>
      <c r="D114" s="5"/>
      <c r="E114" s="5"/>
      <c r="F114" s="6">
        <f t="shared" si="13"/>
        <v>0</v>
      </c>
    </row>
    <row r="115" spans="1:6" s="10" customFormat="1" ht="51" outlineLevel="1" x14ac:dyDescent="0.2">
      <c r="A115" s="21">
        <v>3.05</v>
      </c>
      <c r="B115" s="1" t="s">
        <v>505</v>
      </c>
      <c r="C115" s="2" t="s">
        <v>426</v>
      </c>
      <c r="D115" s="5"/>
      <c r="E115" s="5"/>
      <c r="F115" s="6">
        <f t="shared" si="13"/>
        <v>0</v>
      </c>
    </row>
    <row r="116" spans="1:6" s="10" customFormat="1" ht="51" outlineLevel="1" x14ac:dyDescent="0.2">
      <c r="A116" s="21">
        <v>3.06</v>
      </c>
      <c r="B116" s="1" t="s">
        <v>467</v>
      </c>
      <c r="C116" s="2" t="s">
        <v>426</v>
      </c>
      <c r="D116" s="5"/>
      <c r="E116" s="5"/>
      <c r="F116" s="6">
        <f t="shared" si="13"/>
        <v>0</v>
      </c>
    </row>
    <row r="117" spans="1:6" s="10" customFormat="1" ht="51" outlineLevel="1" x14ac:dyDescent="0.2">
      <c r="A117" s="21">
        <v>3.07</v>
      </c>
      <c r="B117" s="1" t="s">
        <v>468</v>
      </c>
      <c r="C117" s="2" t="s">
        <v>426</v>
      </c>
      <c r="D117" s="5"/>
      <c r="E117" s="5"/>
      <c r="F117" s="6">
        <f t="shared" si="13"/>
        <v>0</v>
      </c>
    </row>
    <row r="118" spans="1:6" s="10" customFormat="1" ht="51" outlineLevel="1" x14ac:dyDescent="0.2">
      <c r="A118" s="146">
        <v>3.08</v>
      </c>
      <c r="B118" s="1" t="s">
        <v>469</v>
      </c>
      <c r="C118" s="2" t="s">
        <v>426</v>
      </c>
      <c r="D118" s="5"/>
      <c r="E118" s="5"/>
      <c r="F118" s="6">
        <f t="shared" si="13"/>
        <v>0</v>
      </c>
    </row>
    <row r="119" spans="1:6" s="10" customFormat="1" ht="51" outlineLevel="1" x14ac:dyDescent="0.2">
      <c r="A119" s="21">
        <v>3.09</v>
      </c>
      <c r="B119" s="1" t="s">
        <v>470</v>
      </c>
      <c r="C119" s="2" t="s">
        <v>426</v>
      </c>
      <c r="D119" s="5"/>
      <c r="E119" s="5"/>
      <c r="F119" s="6">
        <f t="shared" si="13"/>
        <v>0</v>
      </c>
    </row>
    <row r="120" spans="1:6" s="10" customFormat="1" ht="51" outlineLevel="1" x14ac:dyDescent="0.2">
      <c r="A120" s="146">
        <v>3.1</v>
      </c>
      <c r="B120" s="1" t="s">
        <v>471</v>
      </c>
      <c r="C120" s="2" t="s">
        <v>426</v>
      </c>
      <c r="D120" s="5"/>
      <c r="E120" s="5"/>
      <c r="F120" s="6">
        <f t="shared" si="13"/>
        <v>0</v>
      </c>
    </row>
    <row r="121" spans="1:6" s="10" customFormat="1" ht="38.25" outlineLevel="1" x14ac:dyDescent="0.2">
      <c r="A121" s="21">
        <v>3.11</v>
      </c>
      <c r="B121" s="1" t="s">
        <v>626</v>
      </c>
      <c r="C121" s="2" t="s">
        <v>426</v>
      </c>
      <c r="D121" s="5"/>
      <c r="E121" s="5"/>
      <c r="F121" s="6">
        <f t="shared" ref="F121:F122" si="14">IFERROR(E121*D121,0)</f>
        <v>0</v>
      </c>
    </row>
    <row r="122" spans="1:6" s="10" customFormat="1" ht="51" outlineLevel="1" x14ac:dyDescent="0.2">
      <c r="A122" s="21">
        <v>3.12</v>
      </c>
      <c r="B122" s="1" t="s">
        <v>627</v>
      </c>
      <c r="C122" s="2" t="s">
        <v>426</v>
      </c>
      <c r="D122" s="5"/>
      <c r="E122" s="5"/>
      <c r="F122" s="6">
        <f t="shared" si="14"/>
        <v>0</v>
      </c>
    </row>
    <row r="123" spans="1:6" s="10" customFormat="1" ht="25.5" outlineLevel="1" x14ac:dyDescent="0.2">
      <c r="A123" s="21">
        <v>3.13</v>
      </c>
      <c r="B123" s="135" t="s">
        <v>506</v>
      </c>
      <c r="C123" s="2" t="s">
        <v>426</v>
      </c>
      <c r="D123" s="5"/>
      <c r="E123" s="5"/>
      <c r="F123" s="6">
        <f t="shared" si="13"/>
        <v>0</v>
      </c>
    </row>
    <row r="124" spans="1:6" s="10" customFormat="1" ht="25.5" outlineLevel="1" x14ac:dyDescent="0.2">
      <c r="A124" s="146">
        <v>3.14</v>
      </c>
      <c r="B124" s="135" t="s">
        <v>483</v>
      </c>
      <c r="C124" s="2" t="s">
        <v>426</v>
      </c>
      <c r="D124" s="5"/>
      <c r="E124" s="5"/>
      <c r="F124" s="6">
        <f t="shared" si="13"/>
        <v>0</v>
      </c>
    </row>
    <row r="125" spans="1:6" s="10" customFormat="1" ht="24.95" customHeight="1" outlineLevel="1" x14ac:dyDescent="0.2">
      <c r="A125" s="21">
        <v>3.15</v>
      </c>
      <c r="B125" s="135" t="s">
        <v>518</v>
      </c>
      <c r="C125" s="2" t="s">
        <v>426</v>
      </c>
      <c r="D125" s="5"/>
      <c r="E125" s="5"/>
      <c r="F125" s="6">
        <f t="shared" si="13"/>
        <v>0</v>
      </c>
    </row>
    <row r="126" spans="1:6" s="10" customFormat="1" ht="127.5" outlineLevel="1" x14ac:dyDescent="0.2">
      <c r="A126" s="21"/>
      <c r="B126" s="1" t="s">
        <v>432</v>
      </c>
      <c r="C126" s="2"/>
      <c r="D126" s="5"/>
      <c r="E126" s="5"/>
      <c r="F126" s="6">
        <f t="shared" ref="F126" si="15">IFERROR(E126*D126,0)</f>
        <v>0</v>
      </c>
    </row>
    <row r="127" spans="1:6" s="10" customFormat="1" ht="24.95" customHeight="1" outlineLevel="1" x14ac:dyDescent="0.2">
      <c r="A127" s="21"/>
      <c r="B127" s="1"/>
      <c r="C127" s="2"/>
      <c r="D127" s="5"/>
      <c r="E127" s="5"/>
      <c r="F127" s="6">
        <f t="shared" ref="F127:F146" si="16">IFERROR(E127*D127,0)</f>
        <v>0</v>
      </c>
    </row>
    <row r="128" spans="1:6" s="10" customFormat="1" ht="24.95" customHeight="1" outlineLevel="1" x14ac:dyDescent="0.2">
      <c r="A128" s="21"/>
      <c r="B128" s="1"/>
      <c r="C128" s="2"/>
      <c r="D128" s="5"/>
      <c r="E128" s="5"/>
      <c r="F128" s="6">
        <f t="shared" si="16"/>
        <v>0</v>
      </c>
    </row>
    <row r="129" spans="1:6" s="10" customFormat="1" ht="24.95" customHeight="1" outlineLevel="1" x14ac:dyDescent="0.2">
      <c r="A129" s="21"/>
      <c r="B129" s="1"/>
      <c r="C129" s="2"/>
      <c r="D129" s="5"/>
      <c r="E129" s="5"/>
      <c r="F129" s="6">
        <f t="shared" si="16"/>
        <v>0</v>
      </c>
    </row>
    <row r="130" spans="1:6" s="10" customFormat="1" ht="24.95" customHeight="1" outlineLevel="1" x14ac:dyDescent="0.2">
      <c r="A130" s="21"/>
      <c r="B130" s="1"/>
      <c r="C130" s="2"/>
      <c r="D130" s="5"/>
      <c r="E130" s="5"/>
      <c r="F130" s="6">
        <f t="shared" si="16"/>
        <v>0</v>
      </c>
    </row>
    <row r="131" spans="1:6" s="10" customFormat="1" ht="24.95" customHeight="1" outlineLevel="1" x14ac:dyDescent="0.2">
      <c r="A131" s="21"/>
      <c r="B131" s="1"/>
      <c r="C131" s="2"/>
      <c r="D131" s="5"/>
      <c r="E131" s="5"/>
      <c r="F131" s="6">
        <f t="shared" si="16"/>
        <v>0</v>
      </c>
    </row>
    <row r="132" spans="1:6" s="10" customFormat="1" ht="24.95" customHeight="1" outlineLevel="1" x14ac:dyDescent="0.2">
      <c r="A132" s="21"/>
      <c r="B132" s="1"/>
      <c r="C132" s="2"/>
      <c r="D132" s="5"/>
      <c r="E132" s="5"/>
      <c r="F132" s="6">
        <f t="shared" si="16"/>
        <v>0</v>
      </c>
    </row>
    <row r="133" spans="1:6" s="10" customFormat="1" ht="24.95" customHeight="1" outlineLevel="1" x14ac:dyDescent="0.2">
      <c r="A133" s="21"/>
      <c r="B133" s="1"/>
      <c r="C133" s="2"/>
      <c r="D133" s="5"/>
      <c r="E133" s="5"/>
      <c r="F133" s="6">
        <f t="shared" si="16"/>
        <v>0</v>
      </c>
    </row>
    <row r="134" spans="1:6" s="10" customFormat="1" ht="24.95" customHeight="1" outlineLevel="1" x14ac:dyDescent="0.2">
      <c r="A134" s="21"/>
      <c r="B134" s="1"/>
      <c r="C134" s="2"/>
      <c r="D134" s="5"/>
      <c r="E134" s="5"/>
      <c r="F134" s="6">
        <f t="shared" si="16"/>
        <v>0</v>
      </c>
    </row>
    <row r="135" spans="1:6" s="10" customFormat="1" ht="24.95" customHeight="1" outlineLevel="1" x14ac:dyDescent="0.2">
      <c r="A135" s="21"/>
      <c r="B135" s="1"/>
      <c r="C135" s="2"/>
      <c r="D135" s="5"/>
      <c r="E135" s="5"/>
      <c r="F135" s="6">
        <f t="shared" si="16"/>
        <v>0</v>
      </c>
    </row>
    <row r="136" spans="1:6" s="10" customFormat="1" ht="24.95" customHeight="1" outlineLevel="1" x14ac:dyDescent="0.2">
      <c r="A136" s="21"/>
      <c r="B136" s="1"/>
      <c r="C136" s="2"/>
      <c r="D136" s="5"/>
      <c r="E136" s="5"/>
      <c r="F136" s="6">
        <f t="shared" si="16"/>
        <v>0</v>
      </c>
    </row>
    <row r="137" spans="1:6" s="10" customFormat="1" ht="24.95" customHeight="1" outlineLevel="1" x14ac:dyDescent="0.2">
      <c r="A137" s="21"/>
      <c r="B137" s="1"/>
      <c r="C137" s="2"/>
      <c r="D137" s="5"/>
      <c r="E137" s="5"/>
      <c r="F137" s="6">
        <f t="shared" si="16"/>
        <v>0</v>
      </c>
    </row>
    <row r="138" spans="1:6" s="10" customFormat="1" ht="24.95" customHeight="1" outlineLevel="1" x14ac:dyDescent="0.2">
      <c r="A138" s="21"/>
      <c r="B138" s="1"/>
      <c r="C138" s="2"/>
      <c r="D138" s="5"/>
      <c r="E138" s="5"/>
      <c r="F138" s="6">
        <f t="shared" si="16"/>
        <v>0</v>
      </c>
    </row>
    <row r="139" spans="1:6" s="10" customFormat="1" ht="24.95" customHeight="1" outlineLevel="1" x14ac:dyDescent="0.2">
      <c r="A139" s="21"/>
      <c r="B139" s="1"/>
      <c r="C139" s="2"/>
      <c r="D139" s="5"/>
      <c r="E139" s="5"/>
      <c r="F139" s="6">
        <f t="shared" si="16"/>
        <v>0</v>
      </c>
    </row>
    <row r="140" spans="1:6" s="10" customFormat="1" ht="24.95" customHeight="1" outlineLevel="1" x14ac:dyDescent="0.2">
      <c r="A140" s="21"/>
      <c r="B140" s="1"/>
      <c r="C140" s="2"/>
      <c r="D140" s="5"/>
      <c r="E140" s="5"/>
      <c r="F140" s="6">
        <f t="shared" si="16"/>
        <v>0</v>
      </c>
    </row>
    <row r="141" spans="1:6" s="10" customFormat="1" ht="24.95" customHeight="1" outlineLevel="1" x14ac:dyDescent="0.2">
      <c r="A141" s="21"/>
      <c r="B141" s="1"/>
      <c r="C141" s="2"/>
      <c r="D141" s="5"/>
      <c r="E141" s="5"/>
      <c r="F141" s="6">
        <f t="shared" si="16"/>
        <v>0</v>
      </c>
    </row>
    <row r="142" spans="1:6" s="10" customFormat="1" ht="24.95" customHeight="1" outlineLevel="1" x14ac:dyDescent="0.2">
      <c r="A142" s="21"/>
      <c r="B142" s="1"/>
      <c r="C142" s="2"/>
      <c r="D142" s="5"/>
      <c r="E142" s="5"/>
      <c r="F142" s="6">
        <f t="shared" si="16"/>
        <v>0</v>
      </c>
    </row>
    <row r="143" spans="1:6" s="10" customFormat="1" ht="24.95" customHeight="1" outlineLevel="1" x14ac:dyDescent="0.2">
      <c r="A143" s="21"/>
      <c r="B143" s="1"/>
      <c r="C143" s="2"/>
      <c r="D143" s="5"/>
      <c r="E143" s="5"/>
      <c r="F143" s="6">
        <f t="shared" si="16"/>
        <v>0</v>
      </c>
    </row>
    <row r="144" spans="1:6" s="10" customFormat="1" ht="24.95" customHeight="1" outlineLevel="1" x14ac:dyDescent="0.2">
      <c r="A144" s="21"/>
      <c r="B144" s="1"/>
      <c r="C144" s="2"/>
      <c r="D144" s="5"/>
      <c r="E144" s="5"/>
      <c r="F144" s="6">
        <f t="shared" si="16"/>
        <v>0</v>
      </c>
    </row>
    <row r="145" spans="1:6" s="10" customFormat="1" ht="24.95" customHeight="1" outlineLevel="1" x14ac:dyDescent="0.2">
      <c r="A145" s="21"/>
      <c r="B145" s="1"/>
      <c r="C145" s="2"/>
      <c r="D145" s="5"/>
      <c r="E145" s="5"/>
      <c r="F145" s="6">
        <f t="shared" si="16"/>
        <v>0</v>
      </c>
    </row>
    <row r="146" spans="1:6" s="10" customFormat="1" ht="24.95" customHeight="1" outlineLevel="1" x14ac:dyDescent="0.2">
      <c r="A146" s="21"/>
      <c r="B146" s="1"/>
      <c r="C146" s="2"/>
      <c r="D146" s="5"/>
      <c r="E146" s="5"/>
      <c r="F146" s="6">
        <f t="shared" si="16"/>
        <v>0</v>
      </c>
    </row>
    <row r="147" spans="1:6" s="10" customFormat="1" ht="24.95" customHeight="1" outlineLevel="1" x14ac:dyDescent="0.2">
      <c r="A147" s="21"/>
      <c r="B147" s="1"/>
      <c r="C147" s="2"/>
      <c r="D147" s="5"/>
      <c r="E147" s="5"/>
      <c r="F147" s="6">
        <f t="shared" ref="F147" si="17">IFERROR(E147*D147,0)</f>
        <v>0</v>
      </c>
    </row>
    <row r="148" spans="1:6" s="10" customFormat="1" ht="24.95" customHeight="1" x14ac:dyDescent="0.2">
      <c r="A148" s="147"/>
      <c r="B148" s="127" t="s">
        <v>78</v>
      </c>
      <c r="C148" s="18"/>
      <c r="D148" s="19"/>
      <c r="E148" s="19"/>
      <c r="F148" s="98">
        <f>SUM(F111:F147)</f>
        <v>0</v>
      </c>
    </row>
    <row r="149" spans="1:6" s="10" customFormat="1" ht="24.95" customHeight="1" outlineLevel="1" x14ac:dyDescent="0.2">
      <c r="A149" s="11"/>
      <c r="B149" s="126" t="s">
        <v>82</v>
      </c>
      <c r="C149" s="11"/>
      <c r="D149" s="20"/>
      <c r="E149" s="20"/>
      <c r="F149" s="20"/>
    </row>
    <row r="150" spans="1:6" s="10" customFormat="1" ht="51" outlineLevel="1" x14ac:dyDescent="0.2">
      <c r="A150" s="21">
        <v>4.01</v>
      </c>
      <c r="B150" s="1" t="s">
        <v>442</v>
      </c>
      <c r="C150" s="2"/>
      <c r="D150" s="5"/>
      <c r="E150" s="5"/>
      <c r="F150" s="6">
        <f t="shared" ref="F150:F169" si="18">IFERROR(E150*D150,0)</f>
        <v>0</v>
      </c>
    </row>
    <row r="151" spans="1:6" s="10" customFormat="1" ht="14.25" outlineLevel="1" x14ac:dyDescent="0.2">
      <c r="A151" s="148" t="s">
        <v>107</v>
      </c>
      <c r="B151" s="99" t="s">
        <v>117</v>
      </c>
      <c r="C151" s="7" t="s">
        <v>443</v>
      </c>
      <c r="D151" s="6"/>
      <c r="E151" s="5"/>
      <c r="F151" s="6">
        <f t="shared" si="18"/>
        <v>0</v>
      </c>
    </row>
    <row r="152" spans="1:6" s="10" customFormat="1" ht="14.25" outlineLevel="1" x14ac:dyDescent="0.2">
      <c r="A152" s="148" t="s">
        <v>108</v>
      </c>
      <c r="B152" s="99" t="s">
        <v>118</v>
      </c>
      <c r="C152" s="7" t="s">
        <v>443</v>
      </c>
      <c r="D152" s="6"/>
      <c r="E152" s="5"/>
      <c r="F152" s="6">
        <f t="shared" si="18"/>
        <v>0</v>
      </c>
    </row>
    <row r="153" spans="1:6" s="10" customFormat="1" ht="14.25" outlineLevel="1" x14ac:dyDescent="0.2">
      <c r="A153" s="148" t="s">
        <v>109</v>
      </c>
      <c r="B153" s="99" t="s">
        <v>119</v>
      </c>
      <c r="C153" s="7" t="s">
        <v>443</v>
      </c>
      <c r="D153" s="6"/>
      <c r="E153" s="5"/>
      <c r="F153" s="6">
        <f t="shared" si="18"/>
        <v>0</v>
      </c>
    </row>
    <row r="154" spans="1:6" s="10" customFormat="1" ht="14.25" outlineLevel="1" x14ac:dyDescent="0.2">
      <c r="A154" s="148" t="s">
        <v>110</v>
      </c>
      <c r="B154" s="99" t="s">
        <v>487</v>
      </c>
      <c r="C154" s="7" t="s">
        <v>443</v>
      </c>
      <c r="D154" s="6"/>
      <c r="E154" s="5"/>
      <c r="F154" s="6">
        <f t="shared" ref="F154" si="19">IFERROR(E154*D154,0)</f>
        <v>0</v>
      </c>
    </row>
    <row r="155" spans="1:6" s="10" customFormat="1" ht="51" outlineLevel="1" x14ac:dyDescent="0.2">
      <c r="A155" s="21">
        <v>4.0199999999999996</v>
      </c>
      <c r="B155" s="1" t="s">
        <v>484</v>
      </c>
      <c r="C155" s="2"/>
      <c r="D155" s="5"/>
      <c r="E155" s="5"/>
      <c r="F155" s="6">
        <f t="shared" si="18"/>
        <v>0</v>
      </c>
    </row>
    <row r="156" spans="1:6" s="10" customFormat="1" ht="14.25" outlineLevel="1" x14ac:dyDescent="0.2">
      <c r="A156" s="148" t="s">
        <v>107</v>
      </c>
      <c r="B156" s="99" t="s">
        <v>118</v>
      </c>
      <c r="C156" s="7" t="s">
        <v>443</v>
      </c>
      <c r="D156" s="6"/>
      <c r="E156" s="5"/>
      <c r="F156" s="6">
        <f t="shared" ref="F156" si="20">IFERROR(E156*D156,0)</f>
        <v>0</v>
      </c>
    </row>
    <row r="157" spans="1:6" s="10" customFormat="1" ht="14.25" outlineLevel="1" x14ac:dyDescent="0.2">
      <c r="A157" s="148" t="s">
        <v>108</v>
      </c>
      <c r="B157" s="99" t="s">
        <v>119</v>
      </c>
      <c r="C157" s="7" t="s">
        <v>443</v>
      </c>
      <c r="D157" s="6"/>
      <c r="E157" s="5"/>
      <c r="F157" s="6">
        <f t="shared" si="18"/>
        <v>0</v>
      </c>
    </row>
    <row r="158" spans="1:6" s="10" customFormat="1" ht="14.25" outlineLevel="1" x14ac:dyDescent="0.2">
      <c r="A158" s="148" t="s">
        <v>109</v>
      </c>
      <c r="B158" s="99" t="s">
        <v>487</v>
      </c>
      <c r="C158" s="7" t="s">
        <v>443</v>
      </c>
      <c r="D158" s="6"/>
      <c r="E158" s="5"/>
      <c r="F158" s="6">
        <f t="shared" ref="F158:F159" si="21">IFERROR(E158*D158,0)</f>
        <v>0</v>
      </c>
    </row>
    <row r="159" spans="1:6" s="10" customFormat="1" ht="14.25" outlineLevel="1" x14ac:dyDescent="0.2">
      <c r="A159" s="148" t="s">
        <v>110</v>
      </c>
      <c r="B159" s="99" t="s">
        <v>485</v>
      </c>
      <c r="C159" s="7" t="s">
        <v>443</v>
      </c>
      <c r="D159" s="6"/>
      <c r="E159" s="5"/>
      <c r="F159" s="6">
        <f t="shared" si="21"/>
        <v>0</v>
      </c>
    </row>
    <row r="160" spans="1:6" s="10" customFormat="1" ht="14.25" outlineLevel="1" x14ac:dyDescent="0.2">
      <c r="A160" s="148" t="s">
        <v>124</v>
      </c>
      <c r="B160" s="99" t="s">
        <v>488</v>
      </c>
      <c r="C160" s="7" t="s">
        <v>443</v>
      </c>
      <c r="D160" s="6"/>
      <c r="E160" s="5"/>
      <c r="F160" s="6">
        <f t="shared" si="18"/>
        <v>0</v>
      </c>
    </row>
    <row r="161" spans="1:16" s="10" customFormat="1" ht="14.25" outlineLevel="1" x14ac:dyDescent="0.2">
      <c r="A161" s="148" t="s">
        <v>125</v>
      </c>
      <c r="B161" s="99" t="s">
        <v>486</v>
      </c>
      <c r="C161" s="7" t="s">
        <v>443</v>
      </c>
      <c r="D161" s="6"/>
      <c r="E161" s="5"/>
      <c r="F161" s="6">
        <f t="shared" ref="F161" si="22">IFERROR(E161*D161,0)</f>
        <v>0</v>
      </c>
    </row>
    <row r="162" spans="1:16" s="10" customFormat="1" ht="51" outlineLevel="1" x14ac:dyDescent="0.2">
      <c r="A162" s="21">
        <v>4.03</v>
      </c>
      <c r="B162" s="1" t="s">
        <v>444</v>
      </c>
      <c r="C162" s="2" t="s">
        <v>428</v>
      </c>
      <c r="D162" s="5"/>
      <c r="E162" s="5"/>
      <c r="F162" s="6">
        <f t="shared" si="18"/>
        <v>0</v>
      </c>
    </row>
    <row r="163" spans="1:16" s="10" customFormat="1" ht="51" outlineLevel="1" x14ac:dyDescent="0.2">
      <c r="A163" s="21">
        <v>4.04</v>
      </c>
      <c r="B163" s="1" t="s">
        <v>445</v>
      </c>
      <c r="C163" s="2" t="s">
        <v>429</v>
      </c>
      <c r="D163" s="5"/>
      <c r="E163" s="5"/>
      <c r="F163" s="6">
        <f t="shared" si="18"/>
        <v>0</v>
      </c>
    </row>
    <row r="164" spans="1:16" ht="63.75" outlineLevel="1" x14ac:dyDescent="0.2">
      <c r="A164" s="21">
        <v>4.05</v>
      </c>
      <c r="B164" s="1" t="s">
        <v>446</v>
      </c>
      <c r="C164" s="30" t="s">
        <v>423</v>
      </c>
      <c r="D164" s="5"/>
      <c r="E164" s="5"/>
      <c r="F164" s="6">
        <f t="shared" si="18"/>
        <v>0</v>
      </c>
      <c r="G164" s="23"/>
      <c r="H164" s="23"/>
      <c r="I164" s="23"/>
      <c r="J164" s="23"/>
      <c r="K164" s="23"/>
      <c r="L164" s="23"/>
      <c r="M164" s="23"/>
      <c r="N164" s="23"/>
      <c r="O164" s="23"/>
      <c r="P164" s="23"/>
    </row>
    <row r="165" spans="1:16" s="10" customFormat="1" ht="63.75" outlineLevel="1" x14ac:dyDescent="0.2">
      <c r="A165" s="21">
        <v>4.0599999999999996</v>
      </c>
      <c r="B165" s="1" t="s">
        <v>650</v>
      </c>
      <c r="C165" s="30" t="s">
        <v>423</v>
      </c>
      <c r="D165" s="5"/>
      <c r="E165" s="5"/>
      <c r="F165" s="6">
        <f t="shared" si="18"/>
        <v>0</v>
      </c>
    </row>
    <row r="166" spans="1:16" ht="127.5" outlineLevel="1" x14ac:dyDescent="0.2">
      <c r="A166" s="21"/>
      <c r="B166" s="1" t="s">
        <v>432</v>
      </c>
      <c r="C166" s="2"/>
      <c r="D166" s="5"/>
      <c r="E166" s="5"/>
      <c r="F166" s="6">
        <f t="shared" si="18"/>
        <v>0</v>
      </c>
    </row>
    <row r="167" spans="1:16" ht="17.45" customHeight="1" outlineLevel="1" x14ac:dyDescent="0.2">
      <c r="A167" s="21"/>
      <c r="B167" s="1"/>
      <c r="C167" s="2"/>
      <c r="D167" s="5"/>
      <c r="E167" s="5"/>
      <c r="F167" s="6">
        <f t="shared" ref="F167" si="23">IFERROR(E167*D167,0)</f>
        <v>0</v>
      </c>
    </row>
    <row r="168" spans="1:16" ht="17.45" customHeight="1" outlineLevel="1" x14ac:dyDescent="0.2">
      <c r="A168" s="21"/>
      <c r="B168" s="1"/>
      <c r="C168" s="2"/>
      <c r="D168" s="5"/>
      <c r="E168" s="5"/>
      <c r="F168" s="6">
        <f t="shared" si="18"/>
        <v>0</v>
      </c>
    </row>
    <row r="169" spans="1:16" ht="17.45" customHeight="1" outlineLevel="1" x14ac:dyDescent="0.2">
      <c r="A169" s="21"/>
      <c r="B169" s="1"/>
      <c r="C169" s="2"/>
      <c r="D169" s="5"/>
      <c r="E169" s="5"/>
      <c r="F169" s="6">
        <f t="shared" si="18"/>
        <v>0</v>
      </c>
    </row>
    <row r="170" spans="1:16" s="10" customFormat="1" ht="24.95" customHeight="1" x14ac:dyDescent="0.2">
      <c r="A170" s="147"/>
      <c r="B170" s="127" t="s">
        <v>83</v>
      </c>
      <c r="C170" s="18"/>
      <c r="D170" s="19"/>
      <c r="E170" s="19"/>
      <c r="F170" s="98">
        <f>SUM(F150:F169)</f>
        <v>0</v>
      </c>
    </row>
    <row r="171" spans="1:16" s="10" customFormat="1" ht="24.95" customHeight="1" outlineLevel="1" x14ac:dyDescent="0.2">
      <c r="A171" s="11"/>
      <c r="B171" s="126" t="s">
        <v>96</v>
      </c>
      <c r="C171" s="11"/>
      <c r="D171" s="20"/>
      <c r="E171" s="20"/>
      <c r="F171" s="20"/>
    </row>
    <row r="172" spans="1:16" s="10" customFormat="1" ht="38.25" outlineLevel="1" x14ac:dyDescent="0.2">
      <c r="A172" s="21">
        <v>5.01</v>
      </c>
      <c r="B172" s="1" t="s">
        <v>447</v>
      </c>
      <c r="C172" s="2" t="s">
        <v>428</v>
      </c>
      <c r="D172" s="5"/>
      <c r="E172" s="5"/>
      <c r="F172" s="6">
        <f t="shared" ref="F172:F179" si="24">IFERROR(E172*D172,0)</f>
        <v>0</v>
      </c>
    </row>
    <row r="173" spans="1:16" s="10" customFormat="1" ht="51" outlineLevel="1" x14ac:dyDescent="0.2">
      <c r="A173" s="21">
        <v>5.0199999999999996</v>
      </c>
      <c r="B173" s="1" t="s">
        <v>512</v>
      </c>
      <c r="C173" s="2" t="s">
        <v>428</v>
      </c>
      <c r="D173" s="5"/>
      <c r="E173" s="5"/>
      <c r="F173" s="6">
        <f t="shared" si="24"/>
        <v>0</v>
      </c>
    </row>
    <row r="174" spans="1:16" s="10" customFormat="1" ht="14.25" outlineLevel="1" x14ac:dyDescent="0.2">
      <c r="A174" s="149" t="s">
        <v>107</v>
      </c>
      <c r="B174" s="108" t="s">
        <v>514</v>
      </c>
      <c r="C174" s="31" t="s">
        <v>427</v>
      </c>
      <c r="D174" s="162"/>
      <c r="E174" s="33"/>
      <c r="F174" s="162">
        <f t="shared" si="24"/>
        <v>0</v>
      </c>
    </row>
    <row r="175" spans="1:16" s="10" customFormat="1" ht="14.25" outlineLevel="1" x14ac:dyDescent="0.2">
      <c r="A175" s="149" t="s">
        <v>108</v>
      </c>
      <c r="B175" s="108" t="s">
        <v>515</v>
      </c>
      <c r="C175" s="31" t="s">
        <v>427</v>
      </c>
      <c r="D175" s="162"/>
      <c r="E175" s="33"/>
      <c r="F175" s="162">
        <f t="shared" si="24"/>
        <v>0</v>
      </c>
    </row>
    <row r="176" spans="1:16" s="10" customFormat="1" ht="14.25" outlineLevel="1" x14ac:dyDescent="0.2">
      <c r="A176" s="149" t="s">
        <v>109</v>
      </c>
      <c r="B176" s="108" t="s">
        <v>513</v>
      </c>
      <c r="C176" s="31" t="s">
        <v>427</v>
      </c>
      <c r="D176" s="162"/>
      <c r="E176" s="33"/>
      <c r="F176" s="162">
        <f t="shared" si="24"/>
        <v>0</v>
      </c>
    </row>
    <row r="177" spans="1:6" s="10" customFormat="1" ht="14.25" outlineLevel="1" x14ac:dyDescent="0.2">
      <c r="A177" s="149" t="s">
        <v>110</v>
      </c>
      <c r="B177" s="108" t="s">
        <v>516</v>
      </c>
      <c r="C177" s="31" t="s">
        <v>427</v>
      </c>
      <c r="D177" s="33"/>
      <c r="E177" s="33"/>
      <c r="F177" s="162">
        <f t="shared" si="24"/>
        <v>0</v>
      </c>
    </row>
    <row r="178" spans="1:6" s="10" customFormat="1" ht="25.5" outlineLevel="1" x14ac:dyDescent="0.2">
      <c r="A178" s="21">
        <v>5.03</v>
      </c>
      <c r="B178" s="1" t="s">
        <v>586</v>
      </c>
      <c r="C178" s="2" t="s">
        <v>1</v>
      </c>
      <c r="D178" s="5"/>
      <c r="E178" s="5"/>
      <c r="F178" s="162">
        <f t="shared" si="24"/>
        <v>0</v>
      </c>
    </row>
    <row r="179" spans="1:6" s="10" customFormat="1" ht="51" outlineLevel="1" x14ac:dyDescent="0.2">
      <c r="A179" s="21">
        <v>5.04</v>
      </c>
      <c r="B179" s="1" t="s">
        <v>120</v>
      </c>
      <c r="C179" s="2" t="s">
        <v>428</v>
      </c>
      <c r="D179" s="5"/>
      <c r="E179" s="5"/>
      <c r="F179" s="162">
        <f t="shared" si="24"/>
        <v>0</v>
      </c>
    </row>
    <row r="180" spans="1:6" ht="127.5" outlineLevel="1" x14ac:dyDescent="0.2">
      <c r="A180" s="21"/>
      <c r="B180" s="1" t="s">
        <v>431</v>
      </c>
      <c r="C180" s="2"/>
      <c r="D180" s="5"/>
      <c r="E180" s="5"/>
      <c r="F180" s="6">
        <f t="shared" ref="F180:F191" si="25">IFERROR(E180*D180,0)</f>
        <v>0</v>
      </c>
    </row>
    <row r="181" spans="1:6" ht="24.95" customHeight="1" outlineLevel="1" x14ac:dyDescent="0.2">
      <c r="A181" s="21"/>
      <c r="B181" s="1"/>
      <c r="C181" s="2"/>
      <c r="D181" s="5"/>
      <c r="E181" s="5"/>
      <c r="F181" s="6">
        <f t="shared" si="25"/>
        <v>0</v>
      </c>
    </row>
    <row r="182" spans="1:6" ht="24.95" customHeight="1" outlineLevel="1" x14ac:dyDescent="0.2">
      <c r="A182" s="21"/>
      <c r="B182" s="1"/>
      <c r="C182" s="2"/>
      <c r="D182" s="5"/>
      <c r="E182" s="5"/>
      <c r="F182" s="6">
        <f t="shared" si="25"/>
        <v>0</v>
      </c>
    </row>
    <row r="183" spans="1:6" ht="24.95" customHeight="1" outlineLevel="1" x14ac:dyDescent="0.2">
      <c r="A183" s="21"/>
      <c r="B183" s="1"/>
      <c r="C183" s="2"/>
      <c r="D183" s="5"/>
      <c r="E183" s="5"/>
      <c r="F183" s="6">
        <f t="shared" si="25"/>
        <v>0</v>
      </c>
    </row>
    <row r="184" spans="1:6" ht="24.95" customHeight="1" outlineLevel="1" x14ac:dyDescent="0.2">
      <c r="A184" s="21"/>
      <c r="B184" s="1"/>
      <c r="C184" s="2"/>
      <c r="D184" s="5"/>
      <c r="E184" s="5"/>
      <c r="F184" s="6">
        <f t="shared" si="25"/>
        <v>0</v>
      </c>
    </row>
    <row r="185" spans="1:6" ht="24.95" customHeight="1" outlineLevel="1" x14ac:dyDescent="0.2">
      <c r="A185" s="21"/>
      <c r="B185" s="1"/>
      <c r="C185" s="2"/>
      <c r="D185" s="5"/>
      <c r="E185" s="5"/>
      <c r="F185" s="6">
        <f t="shared" si="25"/>
        <v>0</v>
      </c>
    </row>
    <row r="186" spans="1:6" ht="24.95" customHeight="1" outlineLevel="1" x14ac:dyDescent="0.2">
      <c r="A186" s="21"/>
      <c r="B186" s="1"/>
      <c r="C186" s="2"/>
      <c r="D186" s="5"/>
      <c r="E186" s="5"/>
      <c r="F186" s="6">
        <f t="shared" si="25"/>
        <v>0</v>
      </c>
    </row>
    <row r="187" spans="1:6" ht="24.95" customHeight="1" outlineLevel="1" x14ac:dyDescent="0.2">
      <c r="A187" s="21"/>
      <c r="B187" s="1"/>
      <c r="C187" s="2"/>
      <c r="D187" s="5"/>
      <c r="E187" s="5"/>
      <c r="F187" s="6">
        <f t="shared" si="25"/>
        <v>0</v>
      </c>
    </row>
    <row r="188" spans="1:6" ht="24.95" customHeight="1" outlineLevel="1" x14ac:dyDescent="0.2">
      <c r="A188" s="21"/>
      <c r="B188" s="1"/>
      <c r="C188" s="2"/>
      <c r="D188" s="5"/>
      <c r="E188" s="5"/>
      <c r="F188" s="6">
        <f t="shared" si="25"/>
        <v>0</v>
      </c>
    </row>
    <row r="189" spans="1:6" ht="24.95" customHeight="1" outlineLevel="1" x14ac:dyDescent="0.2">
      <c r="A189" s="21"/>
      <c r="B189" s="1"/>
      <c r="C189" s="2"/>
      <c r="D189" s="5"/>
      <c r="E189" s="5"/>
      <c r="F189" s="6">
        <f t="shared" si="25"/>
        <v>0</v>
      </c>
    </row>
    <row r="190" spans="1:6" ht="24.95" customHeight="1" outlineLevel="1" x14ac:dyDescent="0.2">
      <c r="A190" s="21"/>
      <c r="B190" s="1"/>
      <c r="C190" s="2"/>
      <c r="D190" s="5"/>
      <c r="E190" s="5"/>
      <c r="F190" s="6">
        <f t="shared" si="25"/>
        <v>0</v>
      </c>
    </row>
    <row r="191" spans="1:6" ht="24.95" customHeight="1" outlineLevel="1" x14ac:dyDescent="0.2">
      <c r="A191" s="21"/>
      <c r="B191" s="1"/>
      <c r="C191" s="2"/>
      <c r="D191" s="5"/>
      <c r="E191" s="5"/>
      <c r="F191" s="6">
        <f t="shared" si="25"/>
        <v>0</v>
      </c>
    </row>
    <row r="192" spans="1:6" ht="24.95" customHeight="1" outlineLevel="1" x14ac:dyDescent="0.2">
      <c r="A192" s="21"/>
      <c r="B192" s="1"/>
      <c r="C192" s="2"/>
      <c r="D192" s="5"/>
      <c r="E192" s="5"/>
      <c r="F192" s="6">
        <f t="shared" ref="F192" si="26">IFERROR(E192*D192,0)</f>
        <v>0</v>
      </c>
    </row>
    <row r="193" spans="1:16" s="10" customFormat="1" ht="24.95" customHeight="1" outlineLevel="1" x14ac:dyDescent="0.2">
      <c r="A193" s="147"/>
      <c r="B193" s="127" t="s">
        <v>84</v>
      </c>
      <c r="C193" s="18"/>
      <c r="D193" s="142"/>
      <c r="E193" s="142"/>
      <c r="F193" s="98">
        <f>SUM(F172:F192)</f>
        <v>0</v>
      </c>
    </row>
    <row r="194" spans="1:16" s="10" customFormat="1" ht="24.95" customHeight="1" outlineLevel="1" collapsed="1" x14ac:dyDescent="0.2">
      <c r="A194" s="11"/>
      <c r="B194" s="126" t="s">
        <v>85</v>
      </c>
      <c r="C194" s="11"/>
      <c r="D194" s="12"/>
      <c r="E194" s="12"/>
      <c r="F194" s="12"/>
    </row>
    <row r="195" spans="1:16" s="10" customFormat="1" ht="51" x14ac:dyDescent="0.2">
      <c r="A195" s="2">
        <v>6.01</v>
      </c>
      <c r="B195" s="1" t="s">
        <v>595</v>
      </c>
      <c r="C195" s="2" t="s">
        <v>385</v>
      </c>
      <c r="D195" s="87"/>
      <c r="E195" s="87"/>
      <c r="F195" s="6">
        <f t="shared" ref="F195" si="27">IFERROR(E195*D195,0)</f>
        <v>0</v>
      </c>
      <c r="G195" s="22"/>
      <c r="H195" s="22"/>
      <c r="I195" s="22"/>
      <c r="J195" s="22"/>
      <c r="K195" s="22"/>
      <c r="L195" s="22"/>
      <c r="M195" s="22"/>
      <c r="N195" s="22"/>
      <c r="O195" s="22"/>
      <c r="P195" s="22"/>
    </row>
    <row r="196" spans="1:16" s="10" customFormat="1" ht="51" x14ac:dyDescent="0.2">
      <c r="A196" s="2">
        <v>6.02</v>
      </c>
      <c r="B196" s="1" t="s">
        <v>596</v>
      </c>
      <c r="C196" s="2" t="s">
        <v>385</v>
      </c>
      <c r="D196" s="87"/>
      <c r="E196" s="87"/>
      <c r="F196" s="6">
        <f t="shared" ref="F196:F204" si="28">IFERROR(E196*D196,0)</f>
        <v>0</v>
      </c>
      <c r="G196" s="22"/>
      <c r="H196" s="22"/>
      <c r="I196" s="22"/>
      <c r="J196" s="22"/>
      <c r="K196" s="22"/>
      <c r="L196" s="22"/>
      <c r="M196" s="22"/>
      <c r="N196" s="22"/>
      <c r="O196" s="22"/>
      <c r="P196" s="22"/>
    </row>
    <row r="197" spans="1:16" s="10" customFormat="1" ht="54.75" customHeight="1" x14ac:dyDescent="0.2">
      <c r="A197" s="2">
        <v>6.03</v>
      </c>
      <c r="B197" s="1" t="s">
        <v>603</v>
      </c>
      <c r="C197" s="2" t="s">
        <v>385</v>
      </c>
      <c r="D197" s="87"/>
      <c r="E197" s="87"/>
      <c r="F197" s="6">
        <f t="shared" si="28"/>
        <v>0</v>
      </c>
      <c r="G197" s="22"/>
      <c r="H197" s="22"/>
      <c r="I197" s="22"/>
      <c r="J197" s="22"/>
      <c r="K197" s="22"/>
      <c r="L197" s="22"/>
      <c r="M197" s="22"/>
      <c r="N197" s="22"/>
      <c r="O197" s="22"/>
      <c r="P197" s="22"/>
    </row>
    <row r="198" spans="1:16" s="10" customFormat="1" ht="51" x14ac:dyDescent="0.2">
      <c r="A198" s="2">
        <v>6.04</v>
      </c>
      <c r="B198" s="1" t="s">
        <v>601</v>
      </c>
      <c r="C198" s="2" t="s">
        <v>385</v>
      </c>
      <c r="D198" s="87"/>
      <c r="E198" s="87"/>
      <c r="F198" s="6">
        <f t="shared" si="28"/>
        <v>0</v>
      </c>
      <c r="G198" s="22"/>
      <c r="H198" s="22"/>
      <c r="I198" s="22"/>
      <c r="J198" s="22"/>
      <c r="K198" s="22"/>
      <c r="L198" s="22"/>
      <c r="M198" s="22"/>
      <c r="N198" s="22"/>
      <c r="O198" s="22"/>
      <c r="P198" s="22"/>
    </row>
    <row r="199" spans="1:16" s="10" customFormat="1" ht="38.25" x14ac:dyDescent="0.2">
      <c r="A199" s="2">
        <v>6.05</v>
      </c>
      <c r="B199" s="1" t="s">
        <v>597</v>
      </c>
      <c r="C199" s="2" t="s">
        <v>385</v>
      </c>
      <c r="D199" s="87"/>
      <c r="E199" s="87"/>
      <c r="F199" s="6">
        <f t="shared" si="28"/>
        <v>0</v>
      </c>
      <c r="G199" s="22"/>
      <c r="H199" s="22"/>
      <c r="I199" s="22"/>
      <c r="J199" s="22"/>
      <c r="K199" s="22"/>
      <c r="L199" s="22"/>
      <c r="M199" s="22"/>
      <c r="N199" s="22"/>
      <c r="O199" s="22"/>
      <c r="P199" s="22"/>
    </row>
    <row r="200" spans="1:16" s="10" customFormat="1" ht="51" x14ac:dyDescent="0.2">
      <c r="A200" s="2">
        <v>6.06</v>
      </c>
      <c r="B200" s="1" t="s">
        <v>598</v>
      </c>
      <c r="C200" s="2" t="s">
        <v>385</v>
      </c>
      <c r="D200" s="87"/>
      <c r="E200" s="87"/>
      <c r="F200" s="6">
        <f t="shared" si="28"/>
        <v>0</v>
      </c>
      <c r="G200" s="22"/>
      <c r="H200" s="22"/>
      <c r="I200" s="22"/>
      <c r="J200" s="22"/>
      <c r="K200" s="22"/>
      <c r="L200" s="22"/>
      <c r="M200" s="22"/>
      <c r="N200" s="22"/>
      <c r="O200" s="22"/>
      <c r="P200" s="22"/>
    </row>
    <row r="201" spans="1:16" s="10" customFormat="1" ht="51" x14ac:dyDescent="0.2">
      <c r="A201" s="2">
        <v>6.07</v>
      </c>
      <c r="B201" s="1" t="s">
        <v>599</v>
      </c>
      <c r="C201" s="2" t="s">
        <v>385</v>
      </c>
      <c r="D201" s="87"/>
      <c r="E201" s="87"/>
      <c r="F201" s="6">
        <f t="shared" si="28"/>
        <v>0</v>
      </c>
      <c r="G201" s="22"/>
      <c r="H201" s="22"/>
      <c r="I201" s="22"/>
      <c r="J201" s="22"/>
      <c r="K201" s="22"/>
      <c r="L201" s="22"/>
      <c r="M201" s="22"/>
      <c r="N201" s="22"/>
      <c r="O201" s="22"/>
      <c r="P201" s="22"/>
    </row>
    <row r="202" spans="1:16" s="10" customFormat="1" ht="51" x14ac:dyDescent="0.2">
      <c r="A202" s="2">
        <v>6.08</v>
      </c>
      <c r="B202" s="1" t="s">
        <v>602</v>
      </c>
      <c r="C202" s="2" t="s">
        <v>385</v>
      </c>
      <c r="D202" s="87"/>
      <c r="E202" s="87"/>
      <c r="F202" s="6">
        <f t="shared" si="28"/>
        <v>0</v>
      </c>
      <c r="G202" s="22"/>
      <c r="H202" s="22"/>
      <c r="I202" s="22"/>
      <c r="J202" s="22"/>
      <c r="K202" s="22"/>
      <c r="L202" s="22"/>
      <c r="M202" s="22"/>
      <c r="N202" s="22"/>
      <c r="O202" s="22"/>
      <c r="P202" s="22"/>
    </row>
    <row r="203" spans="1:16" s="10" customFormat="1" ht="51" x14ac:dyDescent="0.2">
      <c r="A203" s="2">
        <v>6.09</v>
      </c>
      <c r="B203" s="180" t="s">
        <v>628</v>
      </c>
      <c r="C203" s="2" t="s">
        <v>385</v>
      </c>
      <c r="D203" s="87"/>
      <c r="E203" s="87"/>
      <c r="F203" s="6">
        <f t="shared" si="28"/>
        <v>0</v>
      </c>
      <c r="G203" s="22"/>
      <c r="H203" s="22"/>
      <c r="I203" s="22"/>
      <c r="J203" s="22"/>
      <c r="K203" s="22"/>
      <c r="L203" s="22"/>
      <c r="M203" s="22"/>
      <c r="N203" s="22"/>
      <c r="O203" s="22"/>
      <c r="P203" s="22"/>
    </row>
    <row r="204" spans="1:16" s="10" customFormat="1" ht="51" x14ac:dyDescent="0.2">
      <c r="A204" s="172">
        <v>6.1</v>
      </c>
      <c r="B204" s="1" t="s">
        <v>600</v>
      </c>
      <c r="C204" s="2" t="s">
        <v>385</v>
      </c>
      <c r="D204" s="87"/>
      <c r="E204" s="87"/>
      <c r="F204" s="6">
        <f t="shared" si="28"/>
        <v>0</v>
      </c>
      <c r="G204" s="22"/>
      <c r="H204" s="22"/>
      <c r="I204" s="22"/>
      <c r="J204" s="22"/>
      <c r="K204" s="22"/>
      <c r="L204" s="22"/>
      <c r="M204" s="22"/>
      <c r="N204" s="22"/>
      <c r="O204" s="22"/>
      <c r="P204" s="22"/>
    </row>
    <row r="205" spans="1:16" s="10" customFormat="1" ht="51" x14ac:dyDescent="0.2">
      <c r="A205" s="2">
        <v>6.11</v>
      </c>
      <c r="B205" s="1" t="s">
        <v>604</v>
      </c>
      <c r="C205" s="2" t="s">
        <v>385</v>
      </c>
      <c r="D205" s="87"/>
      <c r="E205" s="87"/>
      <c r="F205" s="6">
        <f t="shared" ref="F205:F206" si="29">IFERROR(E205*D205,0)</f>
        <v>0</v>
      </c>
      <c r="G205" s="22"/>
      <c r="H205" s="22"/>
      <c r="I205" s="22"/>
      <c r="J205" s="22"/>
      <c r="K205" s="22"/>
      <c r="L205" s="22"/>
      <c r="M205" s="22"/>
      <c r="N205" s="22"/>
      <c r="O205" s="22"/>
      <c r="P205" s="22"/>
    </row>
    <row r="206" spans="1:16" s="10" customFormat="1" ht="51" x14ac:dyDescent="0.2">
      <c r="A206" s="2">
        <v>6.12</v>
      </c>
      <c r="B206" s="1" t="s">
        <v>605</v>
      </c>
      <c r="C206" s="2" t="s">
        <v>385</v>
      </c>
      <c r="D206" s="87"/>
      <c r="E206" s="87"/>
      <c r="F206" s="6">
        <f t="shared" si="29"/>
        <v>0</v>
      </c>
      <c r="G206" s="22"/>
      <c r="H206" s="22"/>
      <c r="I206" s="22"/>
      <c r="J206" s="22"/>
      <c r="K206" s="22"/>
      <c r="L206" s="22"/>
      <c r="M206" s="22"/>
      <c r="N206" s="22"/>
      <c r="O206" s="22"/>
      <c r="P206" s="22"/>
    </row>
    <row r="207" spans="1:16" s="10" customFormat="1" ht="51" x14ac:dyDescent="0.2">
      <c r="A207" s="2">
        <v>6.13</v>
      </c>
      <c r="B207" s="1" t="s">
        <v>606</v>
      </c>
      <c r="C207" s="2" t="s">
        <v>385</v>
      </c>
      <c r="D207" s="87"/>
      <c r="E207" s="87"/>
      <c r="F207" s="6">
        <f t="shared" ref="F207" si="30">IFERROR(E207*D207,0)</f>
        <v>0</v>
      </c>
      <c r="G207" s="22"/>
      <c r="H207" s="22"/>
      <c r="I207" s="22"/>
      <c r="J207" s="22"/>
      <c r="K207" s="22"/>
      <c r="L207" s="22"/>
      <c r="M207" s="22"/>
      <c r="N207" s="22"/>
      <c r="O207" s="22"/>
      <c r="P207" s="22"/>
    </row>
    <row r="208" spans="1:16" s="10" customFormat="1" ht="51" x14ac:dyDescent="0.2">
      <c r="A208" s="2">
        <v>6.14</v>
      </c>
      <c r="B208" s="1" t="s">
        <v>607</v>
      </c>
      <c r="C208" s="2" t="s">
        <v>385</v>
      </c>
      <c r="D208" s="87"/>
      <c r="E208" s="87"/>
      <c r="F208" s="6">
        <f t="shared" ref="F208" si="31">IFERROR(E208*D208,0)</f>
        <v>0</v>
      </c>
      <c r="G208" s="22"/>
      <c r="H208" s="22"/>
      <c r="I208" s="22"/>
      <c r="J208" s="22"/>
      <c r="K208" s="22"/>
      <c r="L208" s="22"/>
      <c r="M208" s="22"/>
      <c r="N208" s="22"/>
      <c r="O208" s="22"/>
      <c r="P208" s="22"/>
    </row>
    <row r="209" spans="1:16" s="10" customFormat="1" ht="38.25" outlineLevel="1" x14ac:dyDescent="0.2">
      <c r="A209" s="172">
        <v>6.15</v>
      </c>
      <c r="B209" s="1" t="s">
        <v>448</v>
      </c>
      <c r="C209" s="2"/>
      <c r="D209" s="87"/>
      <c r="E209" s="87"/>
      <c r="F209" s="6"/>
      <c r="G209" s="22"/>
      <c r="H209" s="22"/>
      <c r="I209" s="22"/>
      <c r="J209" s="22"/>
      <c r="K209" s="22"/>
      <c r="L209" s="22"/>
      <c r="M209" s="22"/>
      <c r="N209" s="22"/>
      <c r="O209" s="22"/>
      <c r="P209" s="22"/>
    </row>
    <row r="210" spans="1:16" s="10" customFormat="1" ht="14.25" outlineLevel="1" x14ac:dyDescent="0.2">
      <c r="A210" s="150" t="s">
        <v>107</v>
      </c>
      <c r="B210" s="108" t="s">
        <v>380</v>
      </c>
      <c r="C210" s="89" t="s">
        <v>385</v>
      </c>
      <c r="D210" s="90"/>
      <c r="E210" s="90"/>
      <c r="F210" s="6">
        <f t="shared" ref="F210:F231" si="32">IFERROR(E210*D210,0)</f>
        <v>0</v>
      </c>
      <c r="G210" s="22"/>
      <c r="H210" s="22"/>
      <c r="I210" s="22"/>
      <c r="J210" s="22"/>
      <c r="K210" s="22"/>
      <c r="L210" s="22"/>
      <c r="M210" s="22"/>
      <c r="N210" s="22"/>
      <c r="O210" s="22"/>
      <c r="P210" s="22"/>
    </row>
    <row r="211" spans="1:16" s="10" customFormat="1" ht="14.25" outlineLevel="1" x14ac:dyDescent="0.2">
      <c r="A211" s="150" t="s">
        <v>108</v>
      </c>
      <c r="B211" s="108" t="s">
        <v>381</v>
      </c>
      <c r="C211" s="89" t="s">
        <v>385</v>
      </c>
      <c r="D211" s="90"/>
      <c r="E211" s="90"/>
      <c r="F211" s="6">
        <f t="shared" si="32"/>
        <v>0</v>
      </c>
      <c r="G211" s="22"/>
      <c r="H211" s="22"/>
      <c r="I211" s="22"/>
      <c r="J211" s="22"/>
      <c r="K211" s="22"/>
      <c r="L211" s="22"/>
      <c r="M211" s="22"/>
      <c r="N211" s="22"/>
      <c r="O211" s="22"/>
      <c r="P211" s="22"/>
    </row>
    <row r="212" spans="1:16" s="10" customFormat="1" ht="14.25" outlineLevel="1" x14ac:dyDescent="0.2">
      <c r="A212" s="150" t="s">
        <v>109</v>
      </c>
      <c r="B212" s="108" t="s">
        <v>507</v>
      </c>
      <c r="C212" s="89" t="s">
        <v>385</v>
      </c>
      <c r="D212" s="90"/>
      <c r="E212" s="90"/>
      <c r="F212" s="6">
        <f t="shared" si="32"/>
        <v>0</v>
      </c>
      <c r="G212" s="22"/>
      <c r="H212" s="22"/>
      <c r="I212" s="22"/>
      <c r="J212" s="22"/>
      <c r="K212" s="22"/>
      <c r="L212" s="22"/>
      <c r="M212" s="22"/>
      <c r="N212" s="22"/>
      <c r="O212" s="22"/>
      <c r="P212" s="22"/>
    </row>
    <row r="213" spans="1:16" s="10" customFormat="1" ht="38.25" outlineLevel="1" x14ac:dyDescent="0.2">
      <c r="A213" s="2">
        <v>6.16</v>
      </c>
      <c r="B213" s="1" t="s">
        <v>449</v>
      </c>
      <c r="C213" s="2" t="s">
        <v>385</v>
      </c>
      <c r="D213" s="87"/>
      <c r="E213" s="87"/>
      <c r="F213" s="6">
        <f t="shared" si="32"/>
        <v>0</v>
      </c>
      <c r="G213" s="22"/>
      <c r="H213" s="22"/>
      <c r="I213" s="22"/>
      <c r="J213" s="22"/>
      <c r="K213" s="22"/>
      <c r="L213" s="22"/>
      <c r="M213" s="22"/>
      <c r="N213" s="22"/>
      <c r="O213" s="22"/>
      <c r="P213" s="22"/>
    </row>
    <row r="214" spans="1:16" s="10" customFormat="1" ht="38.25" outlineLevel="1" x14ac:dyDescent="0.2">
      <c r="A214" s="2">
        <v>6.17</v>
      </c>
      <c r="B214" s="1" t="s">
        <v>511</v>
      </c>
      <c r="C214" s="88"/>
      <c r="D214" s="87"/>
      <c r="E214" s="87"/>
      <c r="F214" s="6"/>
      <c r="G214" s="22"/>
      <c r="H214" s="22"/>
      <c r="I214" s="22"/>
      <c r="J214" s="22"/>
      <c r="K214" s="22"/>
      <c r="L214" s="22"/>
      <c r="M214" s="22"/>
      <c r="N214" s="22"/>
      <c r="O214" s="22"/>
      <c r="P214" s="22"/>
    </row>
    <row r="215" spans="1:16" s="10" customFormat="1" ht="14.25" outlineLevel="1" x14ac:dyDescent="0.2">
      <c r="A215" s="150" t="s">
        <v>107</v>
      </c>
      <c r="B215" s="108" t="s">
        <v>508</v>
      </c>
      <c r="C215" s="89" t="s">
        <v>1</v>
      </c>
      <c r="D215" s="87"/>
      <c r="E215" s="87"/>
      <c r="F215" s="6">
        <f t="shared" si="32"/>
        <v>0</v>
      </c>
      <c r="G215" s="22"/>
      <c r="H215" s="22"/>
      <c r="I215" s="22"/>
      <c r="J215" s="22"/>
      <c r="K215" s="22"/>
      <c r="L215" s="22"/>
      <c r="M215" s="22"/>
      <c r="N215" s="22"/>
      <c r="O215" s="22"/>
      <c r="P215" s="22"/>
    </row>
    <row r="216" spans="1:16" s="10" customFormat="1" ht="14.25" outlineLevel="1" x14ac:dyDescent="0.2">
      <c r="A216" s="150" t="s">
        <v>108</v>
      </c>
      <c r="B216" s="108" t="s">
        <v>509</v>
      </c>
      <c r="C216" s="89" t="s">
        <v>1</v>
      </c>
      <c r="D216" s="87"/>
      <c r="E216" s="87"/>
      <c r="F216" s="6">
        <f t="shared" si="32"/>
        <v>0</v>
      </c>
      <c r="G216" s="22"/>
      <c r="H216" s="22"/>
      <c r="I216" s="22"/>
      <c r="J216" s="22"/>
      <c r="K216" s="22"/>
      <c r="L216" s="22"/>
      <c r="M216" s="22"/>
      <c r="N216" s="22"/>
      <c r="O216" s="22"/>
      <c r="P216" s="22"/>
    </row>
    <row r="217" spans="1:16" s="10" customFormat="1" ht="14.25" outlineLevel="1" x14ac:dyDescent="0.2">
      <c r="A217" s="150" t="s">
        <v>109</v>
      </c>
      <c r="B217" s="108" t="s">
        <v>510</v>
      </c>
      <c r="C217" s="89" t="s">
        <v>1</v>
      </c>
      <c r="D217" s="87"/>
      <c r="E217" s="87"/>
      <c r="F217" s="6">
        <f t="shared" si="32"/>
        <v>0</v>
      </c>
      <c r="G217" s="22"/>
      <c r="H217" s="22"/>
      <c r="I217" s="22"/>
      <c r="J217" s="22"/>
      <c r="K217" s="22"/>
      <c r="L217" s="22"/>
      <c r="M217" s="22"/>
      <c r="N217" s="22"/>
      <c r="O217" s="22"/>
      <c r="P217" s="22"/>
    </row>
    <row r="218" spans="1:16" s="10" customFormat="1" ht="14.25" outlineLevel="1" x14ac:dyDescent="0.2">
      <c r="A218" s="150" t="s">
        <v>110</v>
      </c>
      <c r="B218" s="108" t="s">
        <v>578</v>
      </c>
      <c r="C218" s="89" t="s">
        <v>382</v>
      </c>
      <c r="D218" s="87"/>
      <c r="E218" s="87"/>
      <c r="F218" s="6">
        <f t="shared" si="32"/>
        <v>0</v>
      </c>
      <c r="G218" s="22"/>
      <c r="H218" s="22"/>
      <c r="I218" s="22"/>
      <c r="J218" s="22"/>
      <c r="K218" s="22"/>
      <c r="L218" s="22"/>
      <c r="M218" s="22"/>
      <c r="N218" s="22"/>
      <c r="O218" s="22"/>
      <c r="P218" s="22"/>
    </row>
    <row r="219" spans="1:16" s="10" customFormat="1" ht="51" outlineLevel="1" x14ac:dyDescent="0.2">
      <c r="A219" s="2">
        <v>6.18</v>
      </c>
      <c r="B219" s="1" t="s">
        <v>383</v>
      </c>
      <c r="C219" s="91" t="s">
        <v>1</v>
      </c>
      <c r="D219" s="100"/>
      <c r="E219" s="100"/>
      <c r="F219" s="6">
        <f t="shared" si="32"/>
        <v>0</v>
      </c>
      <c r="G219" s="22"/>
      <c r="H219" s="22"/>
      <c r="I219" s="22"/>
      <c r="J219" s="22"/>
      <c r="K219" s="22"/>
      <c r="L219" s="22"/>
      <c r="M219" s="22"/>
      <c r="N219" s="22"/>
      <c r="O219" s="22"/>
      <c r="P219" s="22"/>
    </row>
    <row r="220" spans="1:16" s="10" customFormat="1" ht="38.25" outlineLevel="1" x14ac:dyDescent="0.2">
      <c r="A220" s="176">
        <v>6.19</v>
      </c>
      <c r="B220" s="1" t="s">
        <v>608</v>
      </c>
      <c r="C220" s="91" t="s">
        <v>1</v>
      </c>
      <c r="D220" s="100"/>
      <c r="E220" s="100"/>
      <c r="F220" s="6">
        <f t="shared" ref="F220:F221" si="33">IFERROR(E220*D220,0)</f>
        <v>0</v>
      </c>
      <c r="G220" s="22"/>
      <c r="H220" s="22"/>
      <c r="I220" s="22"/>
      <c r="J220" s="22"/>
      <c r="K220" s="22"/>
      <c r="L220" s="22"/>
      <c r="M220" s="22"/>
      <c r="N220" s="22"/>
      <c r="O220" s="22"/>
      <c r="P220" s="22"/>
    </row>
    <row r="221" spans="1:16" s="10" customFormat="1" ht="127.5" outlineLevel="1" x14ac:dyDescent="0.2">
      <c r="A221" s="151"/>
      <c r="B221" s="109" t="s">
        <v>431</v>
      </c>
      <c r="C221" s="2"/>
      <c r="D221" s="5"/>
      <c r="E221" s="5"/>
      <c r="F221" s="6">
        <f t="shared" si="33"/>
        <v>0</v>
      </c>
      <c r="G221" s="22"/>
      <c r="H221" s="22"/>
      <c r="I221" s="22"/>
      <c r="J221" s="22"/>
      <c r="K221" s="22"/>
      <c r="L221" s="22"/>
      <c r="M221" s="22"/>
      <c r="N221" s="22"/>
      <c r="O221" s="22"/>
      <c r="P221" s="22"/>
    </row>
    <row r="222" spans="1:16" s="10" customFormat="1" ht="20.100000000000001" customHeight="1" outlineLevel="1" x14ac:dyDescent="0.2">
      <c r="A222" s="151"/>
      <c r="B222" s="109"/>
      <c r="C222" s="91"/>
      <c r="D222" s="87"/>
      <c r="E222" s="87"/>
      <c r="F222" s="6">
        <f t="shared" ref="F222:F229" si="34">IFERROR(E222*D222,0)</f>
        <v>0</v>
      </c>
      <c r="G222" s="22"/>
      <c r="H222" s="22"/>
      <c r="I222" s="22"/>
      <c r="J222" s="22"/>
      <c r="K222" s="22"/>
      <c r="L222" s="22"/>
      <c r="M222" s="22"/>
      <c r="N222" s="22"/>
      <c r="O222" s="22"/>
      <c r="P222" s="22"/>
    </row>
    <row r="223" spans="1:16" s="10" customFormat="1" ht="20.100000000000001" customHeight="1" outlineLevel="1" x14ac:dyDescent="0.2">
      <c r="A223" s="151"/>
      <c r="B223" s="109"/>
      <c r="C223" s="91"/>
      <c r="D223" s="87"/>
      <c r="E223" s="87"/>
      <c r="F223" s="6">
        <f t="shared" si="34"/>
        <v>0</v>
      </c>
      <c r="G223" s="22"/>
      <c r="H223" s="22"/>
      <c r="I223" s="22"/>
      <c r="J223" s="22"/>
      <c r="K223" s="22"/>
      <c r="L223" s="22"/>
      <c r="M223" s="22"/>
      <c r="N223" s="22"/>
      <c r="O223" s="22"/>
      <c r="P223" s="22"/>
    </row>
    <row r="224" spans="1:16" s="10" customFormat="1" ht="20.100000000000001" customHeight="1" outlineLevel="1" x14ac:dyDescent="0.2">
      <c r="A224" s="151"/>
      <c r="B224" s="109"/>
      <c r="C224" s="91"/>
      <c r="D224" s="87"/>
      <c r="E224" s="87"/>
      <c r="F224" s="6">
        <f t="shared" si="34"/>
        <v>0</v>
      </c>
      <c r="G224" s="22"/>
      <c r="H224" s="22"/>
      <c r="I224" s="22"/>
      <c r="J224" s="22"/>
      <c r="K224" s="22"/>
      <c r="L224" s="22"/>
      <c r="M224" s="22"/>
      <c r="N224" s="22"/>
      <c r="O224" s="22"/>
      <c r="P224" s="22"/>
    </row>
    <row r="225" spans="1:16" s="10" customFormat="1" ht="20.100000000000001" customHeight="1" outlineLevel="1" x14ac:dyDescent="0.2">
      <c r="A225" s="151"/>
      <c r="B225" s="109"/>
      <c r="C225" s="91"/>
      <c r="D225" s="87"/>
      <c r="E225" s="87"/>
      <c r="F225" s="6">
        <f t="shared" si="34"/>
        <v>0</v>
      </c>
      <c r="G225" s="22"/>
      <c r="H225" s="22"/>
      <c r="I225" s="22"/>
      <c r="J225" s="22"/>
      <c r="K225" s="22"/>
      <c r="L225" s="22"/>
      <c r="M225" s="22"/>
      <c r="N225" s="22"/>
      <c r="O225" s="22"/>
      <c r="P225" s="22"/>
    </row>
    <row r="226" spans="1:16" s="10" customFormat="1" ht="20.100000000000001" customHeight="1" outlineLevel="1" x14ac:dyDescent="0.2">
      <c r="A226" s="151"/>
      <c r="B226" s="109"/>
      <c r="C226" s="91"/>
      <c r="D226" s="87"/>
      <c r="E226" s="87"/>
      <c r="F226" s="6">
        <f t="shared" si="34"/>
        <v>0</v>
      </c>
      <c r="G226" s="22"/>
      <c r="H226" s="22"/>
      <c r="I226" s="22"/>
      <c r="J226" s="22"/>
      <c r="K226" s="22"/>
      <c r="L226" s="22"/>
      <c r="M226" s="22"/>
      <c r="N226" s="22"/>
      <c r="O226" s="22"/>
      <c r="P226" s="22"/>
    </row>
    <row r="227" spans="1:16" s="10" customFormat="1" ht="20.100000000000001" customHeight="1" outlineLevel="1" x14ac:dyDescent="0.2">
      <c r="A227" s="151"/>
      <c r="B227" s="109"/>
      <c r="C227" s="91"/>
      <c r="D227" s="87"/>
      <c r="E227" s="87"/>
      <c r="F227" s="6">
        <f t="shared" si="34"/>
        <v>0</v>
      </c>
      <c r="G227" s="22"/>
      <c r="H227" s="22"/>
      <c r="I227" s="22"/>
      <c r="J227" s="22"/>
      <c r="K227" s="22"/>
      <c r="L227" s="22"/>
      <c r="M227" s="22"/>
      <c r="N227" s="22"/>
      <c r="O227" s="22"/>
      <c r="P227" s="22"/>
    </row>
    <row r="228" spans="1:16" s="10" customFormat="1" ht="20.100000000000001" customHeight="1" outlineLevel="1" x14ac:dyDescent="0.2">
      <c r="A228" s="151"/>
      <c r="B228" s="109"/>
      <c r="C228" s="91"/>
      <c r="D228" s="87"/>
      <c r="E228" s="87"/>
      <c r="F228" s="6">
        <f t="shared" ref="F228" si="35">IFERROR(E228*D228,0)</f>
        <v>0</v>
      </c>
      <c r="G228" s="22"/>
      <c r="H228" s="22"/>
      <c r="I228" s="22"/>
      <c r="J228" s="22"/>
      <c r="K228" s="22"/>
      <c r="L228" s="22"/>
      <c r="M228" s="22"/>
      <c r="N228" s="22"/>
      <c r="O228" s="22"/>
      <c r="P228" s="22"/>
    </row>
    <row r="229" spans="1:16" s="10" customFormat="1" ht="20.100000000000001" customHeight="1" outlineLevel="1" x14ac:dyDescent="0.2">
      <c r="A229" s="151"/>
      <c r="B229" s="109"/>
      <c r="C229" s="91"/>
      <c r="D229" s="87"/>
      <c r="E229" s="87"/>
      <c r="F229" s="6">
        <f t="shared" si="34"/>
        <v>0</v>
      </c>
      <c r="G229" s="22"/>
      <c r="H229" s="22"/>
      <c r="I229" s="22"/>
      <c r="J229" s="22"/>
      <c r="K229" s="22"/>
      <c r="L229" s="22"/>
      <c r="M229" s="22"/>
      <c r="N229" s="22"/>
      <c r="O229" s="22"/>
      <c r="P229" s="22"/>
    </row>
    <row r="230" spans="1:16" s="10" customFormat="1" ht="20.100000000000001" customHeight="1" outlineLevel="1" x14ac:dyDescent="0.2">
      <c r="A230" s="151"/>
      <c r="B230" s="109"/>
      <c r="C230" s="91"/>
      <c r="D230" s="87"/>
      <c r="E230" s="87"/>
      <c r="F230" s="6">
        <f t="shared" si="32"/>
        <v>0</v>
      </c>
      <c r="G230" s="22"/>
      <c r="H230" s="22"/>
      <c r="I230" s="22"/>
      <c r="J230" s="22"/>
      <c r="K230" s="22"/>
      <c r="L230" s="22"/>
      <c r="M230" s="22"/>
      <c r="N230" s="22"/>
      <c r="O230" s="22"/>
      <c r="P230" s="22"/>
    </row>
    <row r="231" spans="1:16" s="10" customFormat="1" ht="20.100000000000001" customHeight="1" outlineLevel="1" x14ac:dyDescent="0.2">
      <c r="A231" s="151"/>
      <c r="B231" s="109"/>
      <c r="C231" s="91"/>
      <c r="D231" s="87"/>
      <c r="E231" s="87"/>
      <c r="F231" s="6">
        <f t="shared" si="32"/>
        <v>0</v>
      </c>
      <c r="G231" s="22"/>
      <c r="H231" s="22"/>
      <c r="I231" s="22"/>
      <c r="J231" s="22"/>
      <c r="K231" s="22"/>
      <c r="L231" s="22"/>
      <c r="M231" s="22"/>
      <c r="N231" s="22"/>
      <c r="O231" s="22"/>
      <c r="P231" s="22"/>
    </row>
    <row r="232" spans="1:16" s="10" customFormat="1" ht="24.95" customHeight="1" x14ac:dyDescent="0.2">
      <c r="A232" s="147"/>
      <c r="B232" s="127" t="s">
        <v>86</v>
      </c>
      <c r="C232" s="18"/>
      <c r="D232" s="19"/>
      <c r="E232" s="19"/>
      <c r="F232" s="98">
        <f>SUM(F195:F231)</f>
        <v>0</v>
      </c>
    </row>
    <row r="233" spans="1:16" s="10" customFormat="1" ht="24.95" customHeight="1" outlineLevel="1" x14ac:dyDescent="0.2">
      <c r="A233" s="11"/>
      <c r="B233" s="126" t="s">
        <v>89</v>
      </c>
      <c r="C233" s="144"/>
      <c r="D233" s="145"/>
      <c r="E233" s="145"/>
      <c r="F233" s="145"/>
    </row>
    <row r="234" spans="1:16" s="10" customFormat="1" ht="64.5" customHeight="1" outlineLevel="1" x14ac:dyDescent="0.2">
      <c r="A234" s="35">
        <v>7.01</v>
      </c>
      <c r="B234" s="110" t="s">
        <v>121</v>
      </c>
      <c r="C234" s="21"/>
      <c r="D234" s="5"/>
      <c r="E234" s="5"/>
      <c r="F234" s="15"/>
      <c r="G234" s="8"/>
      <c r="H234" s="8"/>
      <c r="I234" s="8"/>
      <c r="J234" s="8"/>
      <c r="K234" s="8"/>
      <c r="L234" s="8"/>
      <c r="M234" s="8"/>
      <c r="N234" s="8"/>
      <c r="O234" s="8"/>
      <c r="P234" s="8"/>
    </row>
    <row r="235" spans="1:16" s="10" customFormat="1" ht="14.25" outlineLevel="1" x14ac:dyDescent="0.2">
      <c r="A235" s="175" t="s">
        <v>107</v>
      </c>
      <c r="B235" s="108" t="s">
        <v>609</v>
      </c>
      <c r="C235" s="32" t="s">
        <v>385</v>
      </c>
      <c r="D235" s="5"/>
      <c r="E235" s="5"/>
      <c r="F235" s="15">
        <f t="shared" ref="F235:F240" si="36">IFERROR(E235*D235,0)</f>
        <v>0</v>
      </c>
      <c r="G235" s="8"/>
      <c r="H235" s="8"/>
      <c r="I235" s="8"/>
      <c r="J235" s="8"/>
      <c r="K235" s="8"/>
      <c r="L235" s="8"/>
      <c r="M235" s="8"/>
      <c r="N235" s="8"/>
      <c r="O235" s="8"/>
      <c r="P235" s="8"/>
    </row>
    <row r="236" spans="1:16" s="10" customFormat="1" ht="14.25" outlineLevel="1" x14ac:dyDescent="0.2">
      <c r="A236" s="175" t="s">
        <v>108</v>
      </c>
      <c r="B236" s="108" t="s">
        <v>610</v>
      </c>
      <c r="C236" s="32" t="s">
        <v>385</v>
      </c>
      <c r="D236" s="5"/>
      <c r="E236" s="5"/>
      <c r="F236" s="15">
        <f t="shared" si="36"/>
        <v>0</v>
      </c>
      <c r="G236" s="8"/>
      <c r="H236" s="8"/>
      <c r="I236" s="8"/>
      <c r="J236" s="8"/>
      <c r="K236" s="8"/>
      <c r="L236" s="8"/>
      <c r="M236" s="8"/>
      <c r="N236" s="8"/>
      <c r="O236" s="8"/>
      <c r="P236" s="8"/>
    </row>
    <row r="237" spans="1:16" s="10" customFormat="1" ht="14.25" outlineLevel="1" x14ac:dyDescent="0.2">
      <c r="A237" s="175" t="s">
        <v>109</v>
      </c>
      <c r="B237" s="108" t="s">
        <v>611</v>
      </c>
      <c r="C237" s="32" t="s">
        <v>385</v>
      </c>
      <c r="D237" s="5"/>
      <c r="E237" s="5"/>
      <c r="F237" s="15">
        <f t="shared" si="36"/>
        <v>0</v>
      </c>
      <c r="G237" s="8"/>
      <c r="H237" s="8"/>
      <c r="I237" s="8"/>
      <c r="J237" s="8"/>
      <c r="K237" s="8"/>
      <c r="L237" s="8"/>
      <c r="M237" s="8"/>
      <c r="N237" s="8"/>
      <c r="O237" s="8"/>
      <c r="P237" s="8"/>
    </row>
    <row r="238" spans="1:16" s="10" customFormat="1" ht="14.25" outlineLevel="1" x14ac:dyDescent="0.2">
      <c r="A238" s="175" t="s">
        <v>110</v>
      </c>
      <c r="B238" s="108" t="s">
        <v>612</v>
      </c>
      <c r="C238" s="32" t="s">
        <v>385</v>
      </c>
      <c r="D238" s="5"/>
      <c r="E238" s="5"/>
      <c r="F238" s="15">
        <f t="shared" si="36"/>
        <v>0</v>
      </c>
      <c r="G238" s="8"/>
      <c r="H238" s="8"/>
      <c r="I238" s="8"/>
      <c r="J238" s="8"/>
      <c r="K238" s="8"/>
      <c r="L238" s="8"/>
      <c r="M238" s="8"/>
      <c r="N238" s="8"/>
      <c r="O238" s="8"/>
      <c r="P238" s="8"/>
    </row>
    <row r="239" spans="1:16" s="10" customFormat="1" ht="14.25" outlineLevel="1" x14ac:dyDescent="0.2">
      <c r="A239" s="175" t="s">
        <v>124</v>
      </c>
      <c r="B239" s="108" t="s">
        <v>613</v>
      </c>
      <c r="C239" s="32" t="s">
        <v>385</v>
      </c>
      <c r="D239" s="5"/>
      <c r="E239" s="5"/>
      <c r="F239" s="15">
        <f t="shared" si="36"/>
        <v>0</v>
      </c>
      <c r="G239" s="8"/>
      <c r="H239" s="8"/>
      <c r="I239" s="8"/>
      <c r="J239" s="8"/>
      <c r="K239" s="8"/>
      <c r="L239" s="8"/>
      <c r="M239" s="8"/>
      <c r="N239" s="8"/>
      <c r="O239" s="8"/>
      <c r="P239" s="8"/>
    </row>
    <row r="240" spans="1:16" s="10" customFormat="1" ht="14.25" outlineLevel="1" x14ac:dyDescent="0.2">
      <c r="A240" s="175" t="s">
        <v>125</v>
      </c>
      <c r="B240" s="108" t="s">
        <v>614</v>
      </c>
      <c r="C240" s="32" t="s">
        <v>385</v>
      </c>
      <c r="D240" s="5"/>
      <c r="E240" s="5"/>
      <c r="F240" s="15">
        <f t="shared" si="36"/>
        <v>0</v>
      </c>
      <c r="G240" s="8"/>
      <c r="H240" s="8"/>
      <c r="I240" s="8"/>
      <c r="J240" s="8"/>
      <c r="K240" s="8"/>
      <c r="L240" s="8"/>
      <c r="M240" s="8"/>
      <c r="N240" s="8"/>
      <c r="O240" s="8"/>
      <c r="P240" s="8"/>
    </row>
    <row r="241" spans="1:16" s="10" customFormat="1" ht="14.25" outlineLevel="1" x14ac:dyDescent="0.2">
      <c r="A241" s="175"/>
      <c r="B241" s="108"/>
      <c r="C241" s="32"/>
      <c r="D241" s="33"/>
      <c r="E241" s="33"/>
      <c r="F241" s="15"/>
      <c r="G241" s="8"/>
      <c r="H241" s="8"/>
      <c r="I241" s="8"/>
      <c r="J241" s="8"/>
      <c r="K241" s="8"/>
      <c r="L241" s="8"/>
      <c r="M241" s="8"/>
      <c r="N241" s="8"/>
      <c r="O241" s="8"/>
      <c r="P241" s="8"/>
    </row>
    <row r="242" spans="1:16" s="10" customFormat="1" ht="36" outlineLevel="1" x14ac:dyDescent="0.2">
      <c r="A242" s="2">
        <v>7.02</v>
      </c>
      <c r="B242" s="110" t="s">
        <v>122</v>
      </c>
      <c r="C242" s="2"/>
      <c r="D242" s="5"/>
      <c r="E242" s="5"/>
      <c r="F242" s="15"/>
      <c r="G242" s="8"/>
      <c r="H242" s="8"/>
      <c r="I242" s="8"/>
      <c r="J242" s="8"/>
      <c r="K242" s="8"/>
      <c r="L242" s="8"/>
      <c r="M242" s="8"/>
      <c r="N242" s="8"/>
      <c r="O242" s="8"/>
      <c r="P242" s="8"/>
    </row>
    <row r="243" spans="1:16" s="10" customFormat="1" ht="14.25" outlineLevel="1" x14ac:dyDescent="0.2">
      <c r="A243" s="31" t="s">
        <v>107</v>
      </c>
      <c r="B243" s="108" t="s">
        <v>629</v>
      </c>
      <c r="C243" s="32" t="s">
        <v>385</v>
      </c>
      <c r="D243" s="5"/>
      <c r="E243" s="5"/>
      <c r="F243" s="15">
        <f t="shared" ref="F243" si="37">IFERROR(E243*D243,0)</f>
        <v>0</v>
      </c>
      <c r="G243" s="8"/>
      <c r="H243" s="8"/>
      <c r="I243" s="8"/>
      <c r="J243" s="8"/>
      <c r="K243" s="8"/>
      <c r="L243" s="8"/>
      <c r="M243" s="8"/>
      <c r="N243" s="8"/>
      <c r="O243" s="8"/>
      <c r="P243" s="8"/>
    </row>
    <row r="244" spans="1:16" s="10" customFormat="1" ht="14.25" outlineLevel="1" x14ac:dyDescent="0.2">
      <c r="A244" s="31" t="s">
        <v>108</v>
      </c>
      <c r="B244" s="108" t="s">
        <v>615</v>
      </c>
      <c r="C244" s="32" t="s">
        <v>385</v>
      </c>
      <c r="D244" s="5"/>
      <c r="E244" s="5"/>
      <c r="F244" s="15">
        <f t="shared" ref="F244:F249" si="38">IFERROR(E244*D244,0)</f>
        <v>0</v>
      </c>
      <c r="G244" s="8"/>
      <c r="H244" s="8"/>
      <c r="I244" s="8"/>
      <c r="J244" s="8"/>
      <c r="K244" s="8"/>
      <c r="L244" s="8"/>
      <c r="M244" s="8"/>
      <c r="N244" s="8"/>
      <c r="O244" s="8"/>
      <c r="P244" s="8"/>
    </row>
    <row r="245" spans="1:16" s="10" customFormat="1" ht="14.25" outlineLevel="1" x14ac:dyDescent="0.2">
      <c r="A245" s="31" t="s">
        <v>109</v>
      </c>
      <c r="B245" s="108" t="s">
        <v>616</v>
      </c>
      <c r="C245" s="32" t="s">
        <v>385</v>
      </c>
      <c r="D245" s="5"/>
      <c r="E245" s="5"/>
      <c r="F245" s="15">
        <f t="shared" si="38"/>
        <v>0</v>
      </c>
      <c r="G245" s="8"/>
      <c r="H245" s="8"/>
      <c r="I245" s="8"/>
      <c r="J245" s="8"/>
      <c r="K245" s="8"/>
      <c r="L245" s="8"/>
      <c r="M245" s="8"/>
      <c r="N245" s="8"/>
      <c r="O245" s="8"/>
      <c r="P245" s="8"/>
    </row>
    <row r="246" spans="1:16" s="10" customFormat="1" ht="14.25" outlineLevel="1" x14ac:dyDescent="0.2">
      <c r="A246" s="31" t="s">
        <v>110</v>
      </c>
      <c r="B246" s="108" t="s">
        <v>617</v>
      </c>
      <c r="C246" s="32" t="s">
        <v>385</v>
      </c>
      <c r="D246" s="5"/>
      <c r="E246" s="5"/>
      <c r="F246" s="15">
        <f t="shared" si="38"/>
        <v>0</v>
      </c>
      <c r="G246" s="8"/>
      <c r="H246" s="8"/>
      <c r="I246" s="8"/>
      <c r="J246" s="8"/>
      <c r="K246" s="8"/>
      <c r="L246" s="8"/>
      <c r="M246" s="8"/>
      <c r="N246" s="8"/>
      <c r="O246" s="8"/>
      <c r="P246" s="8"/>
    </row>
    <row r="247" spans="1:16" s="10" customFormat="1" ht="14.25" outlineLevel="1" x14ac:dyDescent="0.2">
      <c r="A247" s="31" t="s">
        <v>124</v>
      </c>
      <c r="B247" s="108" t="s">
        <v>618</v>
      </c>
      <c r="C247" s="32" t="s">
        <v>385</v>
      </c>
      <c r="D247" s="5"/>
      <c r="E247" s="5"/>
      <c r="F247" s="15">
        <f t="shared" si="38"/>
        <v>0</v>
      </c>
      <c r="G247" s="8"/>
      <c r="H247" s="8"/>
      <c r="I247" s="8"/>
      <c r="J247" s="8"/>
      <c r="K247" s="8"/>
      <c r="L247" s="8"/>
      <c r="M247" s="8"/>
      <c r="N247" s="8"/>
      <c r="O247" s="8"/>
      <c r="P247" s="8"/>
    </row>
    <row r="248" spans="1:16" s="10" customFormat="1" ht="14.25" outlineLevel="1" x14ac:dyDescent="0.2">
      <c r="A248" s="31" t="s">
        <v>125</v>
      </c>
      <c r="B248" s="108" t="s">
        <v>619</v>
      </c>
      <c r="C248" s="32" t="s">
        <v>385</v>
      </c>
      <c r="D248" s="5"/>
      <c r="E248" s="5"/>
      <c r="F248" s="15">
        <f t="shared" si="38"/>
        <v>0</v>
      </c>
      <c r="G248" s="8"/>
      <c r="H248" s="8"/>
      <c r="I248" s="8"/>
      <c r="J248" s="8"/>
      <c r="K248" s="8"/>
      <c r="L248" s="8"/>
      <c r="M248" s="8"/>
      <c r="N248" s="8"/>
      <c r="O248" s="8"/>
      <c r="P248" s="8"/>
    </row>
    <row r="249" spans="1:16" s="10" customFormat="1" ht="14.25" outlineLevel="1" x14ac:dyDescent="0.2">
      <c r="A249" s="31" t="s">
        <v>126</v>
      </c>
      <c r="B249" s="108" t="s">
        <v>620</v>
      </c>
      <c r="C249" s="32" t="s">
        <v>385</v>
      </c>
      <c r="D249" s="5"/>
      <c r="E249" s="5"/>
      <c r="F249" s="15">
        <f t="shared" si="38"/>
        <v>0</v>
      </c>
      <c r="G249" s="8"/>
      <c r="H249" s="8"/>
      <c r="I249" s="8"/>
      <c r="J249" s="8"/>
      <c r="K249" s="8"/>
      <c r="L249" s="8"/>
      <c r="M249" s="8"/>
      <c r="N249" s="8"/>
      <c r="O249" s="8"/>
      <c r="P249" s="8"/>
    </row>
    <row r="250" spans="1:16" s="10" customFormat="1" ht="14.25" outlineLevel="1" x14ac:dyDescent="0.2">
      <c r="A250" s="31"/>
      <c r="B250" s="108"/>
      <c r="C250" s="32"/>
      <c r="D250" s="5"/>
      <c r="E250" s="5"/>
      <c r="F250" s="15"/>
      <c r="G250" s="8"/>
      <c r="H250" s="8"/>
      <c r="I250" s="8"/>
      <c r="J250" s="8"/>
      <c r="K250" s="8"/>
      <c r="L250" s="8"/>
      <c r="M250" s="8"/>
      <c r="N250" s="8"/>
      <c r="O250" s="8"/>
      <c r="P250" s="8"/>
    </row>
    <row r="251" spans="1:16" s="10" customFormat="1" ht="36" outlineLevel="1" x14ac:dyDescent="0.2">
      <c r="A251" s="2">
        <v>7.03</v>
      </c>
      <c r="B251" s="110" t="s">
        <v>389</v>
      </c>
      <c r="C251" s="2"/>
      <c r="D251" s="16"/>
      <c r="E251" s="16"/>
      <c r="F251" s="15"/>
      <c r="G251" s="8"/>
      <c r="H251" s="8"/>
      <c r="I251" s="8"/>
      <c r="J251" s="8"/>
      <c r="K251" s="8"/>
      <c r="L251" s="8"/>
      <c r="M251" s="8"/>
      <c r="N251" s="8"/>
      <c r="O251" s="8"/>
      <c r="P251" s="8"/>
    </row>
    <row r="252" spans="1:16" s="10" customFormat="1" outlineLevel="1" x14ac:dyDescent="0.2">
      <c r="A252" s="175" t="s">
        <v>107</v>
      </c>
      <c r="B252" s="108" t="s">
        <v>409</v>
      </c>
      <c r="C252" s="32" t="s">
        <v>385</v>
      </c>
      <c r="D252" s="5"/>
      <c r="E252" s="5"/>
      <c r="F252" s="15">
        <f t="shared" ref="F252:F270" si="39">IFERROR(E252*D252,0)</f>
        <v>0</v>
      </c>
      <c r="G252" s="8"/>
      <c r="H252" s="8"/>
      <c r="I252" s="8"/>
      <c r="J252" s="8"/>
      <c r="K252" s="8"/>
      <c r="L252" s="8"/>
      <c r="M252" s="8"/>
      <c r="N252" s="8"/>
      <c r="O252" s="8"/>
      <c r="P252" s="8"/>
    </row>
    <row r="253" spans="1:16" s="10" customFormat="1" outlineLevel="1" x14ac:dyDescent="0.2">
      <c r="A253" s="175" t="s">
        <v>108</v>
      </c>
      <c r="B253" s="108" t="s">
        <v>410</v>
      </c>
      <c r="C253" s="32" t="s">
        <v>385</v>
      </c>
      <c r="D253" s="5"/>
      <c r="E253" s="5"/>
      <c r="F253" s="15">
        <f t="shared" si="39"/>
        <v>0</v>
      </c>
      <c r="G253" s="8"/>
      <c r="H253" s="8"/>
      <c r="I253" s="8"/>
      <c r="J253" s="8"/>
      <c r="K253" s="8"/>
      <c r="L253" s="8"/>
      <c r="M253" s="8"/>
      <c r="N253" s="8"/>
      <c r="O253" s="8"/>
      <c r="P253" s="8"/>
    </row>
    <row r="254" spans="1:16" s="10" customFormat="1" outlineLevel="1" x14ac:dyDescent="0.2">
      <c r="A254" s="175" t="s">
        <v>109</v>
      </c>
      <c r="B254" s="108" t="s">
        <v>411</v>
      </c>
      <c r="C254" s="32" t="s">
        <v>385</v>
      </c>
      <c r="D254" s="5"/>
      <c r="E254" s="5"/>
      <c r="F254" s="15">
        <f t="shared" si="39"/>
        <v>0</v>
      </c>
      <c r="G254" s="8"/>
      <c r="H254" s="8"/>
      <c r="I254" s="8"/>
      <c r="J254" s="8"/>
      <c r="K254" s="8"/>
      <c r="L254" s="8"/>
      <c r="M254" s="8"/>
      <c r="N254" s="8"/>
      <c r="O254" s="8"/>
      <c r="P254" s="8"/>
    </row>
    <row r="255" spans="1:16" s="10" customFormat="1" outlineLevel="1" x14ac:dyDescent="0.2">
      <c r="A255" s="175" t="s">
        <v>110</v>
      </c>
      <c r="B255" s="108" t="s">
        <v>412</v>
      </c>
      <c r="C255" s="32" t="s">
        <v>385</v>
      </c>
      <c r="D255" s="5"/>
      <c r="E255" s="5"/>
      <c r="F255" s="15">
        <f t="shared" si="39"/>
        <v>0</v>
      </c>
      <c r="G255" s="8"/>
      <c r="H255" s="8"/>
      <c r="I255" s="8"/>
      <c r="J255" s="8"/>
      <c r="K255" s="8"/>
      <c r="L255" s="8"/>
      <c r="M255" s="8"/>
      <c r="N255" s="8"/>
      <c r="O255" s="8"/>
      <c r="P255" s="8"/>
    </row>
    <row r="256" spans="1:16" s="10" customFormat="1" outlineLevel="1" x14ac:dyDescent="0.2">
      <c r="A256" s="175" t="s">
        <v>124</v>
      </c>
      <c r="B256" s="108" t="s">
        <v>413</v>
      </c>
      <c r="C256" s="32" t="s">
        <v>385</v>
      </c>
      <c r="D256" s="5"/>
      <c r="E256" s="5"/>
      <c r="F256" s="15">
        <f t="shared" si="39"/>
        <v>0</v>
      </c>
      <c r="G256" s="8"/>
      <c r="H256" s="8"/>
      <c r="I256" s="8"/>
      <c r="J256" s="8"/>
      <c r="K256" s="8"/>
      <c r="L256" s="8"/>
      <c r="M256" s="8"/>
      <c r="N256" s="8"/>
      <c r="O256" s="8"/>
      <c r="P256" s="8"/>
    </row>
    <row r="257" spans="1:16" s="10" customFormat="1" outlineLevel="1" x14ac:dyDescent="0.2">
      <c r="A257" s="175" t="s">
        <v>125</v>
      </c>
      <c r="B257" s="108" t="s">
        <v>414</v>
      </c>
      <c r="C257" s="32" t="s">
        <v>385</v>
      </c>
      <c r="D257" s="5"/>
      <c r="E257" s="5"/>
      <c r="F257" s="15">
        <f t="shared" si="39"/>
        <v>0</v>
      </c>
      <c r="G257" s="8"/>
      <c r="H257" s="8"/>
      <c r="I257" s="8"/>
      <c r="J257" s="8"/>
      <c r="K257" s="8"/>
      <c r="L257" s="8"/>
      <c r="M257" s="8"/>
      <c r="N257" s="8"/>
      <c r="O257" s="8"/>
      <c r="P257" s="8"/>
    </row>
    <row r="258" spans="1:16" s="10" customFormat="1" outlineLevel="1" x14ac:dyDescent="0.2">
      <c r="A258" s="175" t="s">
        <v>126</v>
      </c>
      <c r="B258" s="108" t="s">
        <v>415</v>
      </c>
      <c r="C258" s="32" t="s">
        <v>385</v>
      </c>
      <c r="D258" s="5"/>
      <c r="E258" s="5"/>
      <c r="F258" s="15">
        <f t="shared" si="39"/>
        <v>0</v>
      </c>
      <c r="G258" s="8"/>
      <c r="H258" s="8"/>
      <c r="I258" s="8"/>
      <c r="J258" s="8"/>
      <c r="K258" s="8"/>
      <c r="L258" s="8"/>
      <c r="M258" s="8"/>
      <c r="N258" s="8"/>
      <c r="O258" s="8"/>
      <c r="P258" s="8"/>
    </row>
    <row r="259" spans="1:16" s="10" customFormat="1" outlineLevel="1" x14ac:dyDescent="0.2">
      <c r="A259" s="175" t="s">
        <v>127</v>
      </c>
      <c r="B259" s="108" t="s">
        <v>416</v>
      </c>
      <c r="C259" s="32" t="s">
        <v>385</v>
      </c>
      <c r="D259" s="5"/>
      <c r="E259" s="5"/>
      <c r="F259" s="15">
        <f t="shared" si="39"/>
        <v>0</v>
      </c>
      <c r="G259" s="8"/>
      <c r="H259" s="8"/>
      <c r="I259" s="8"/>
      <c r="J259" s="8"/>
      <c r="K259" s="8"/>
      <c r="L259" s="8"/>
      <c r="M259" s="8"/>
      <c r="N259" s="8"/>
      <c r="O259" s="8"/>
      <c r="P259" s="8"/>
    </row>
    <row r="260" spans="1:16" s="10" customFormat="1" outlineLevel="1" x14ac:dyDescent="0.2">
      <c r="A260" s="175" t="s">
        <v>128</v>
      </c>
      <c r="B260" s="108" t="s">
        <v>621</v>
      </c>
      <c r="C260" s="32" t="s">
        <v>385</v>
      </c>
      <c r="D260" s="5"/>
      <c r="E260" s="5"/>
      <c r="F260" s="15">
        <f t="shared" ref="F260:F261" si="40">IFERROR(E260*D260,0)</f>
        <v>0</v>
      </c>
      <c r="G260" s="8"/>
      <c r="H260" s="8"/>
      <c r="I260" s="8"/>
      <c r="J260" s="8"/>
      <c r="K260" s="8"/>
      <c r="L260" s="8"/>
      <c r="M260" s="8"/>
      <c r="N260" s="8"/>
      <c r="O260" s="8"/>
      <c r="P260" s="8"/>
    </row>
    <row r="261" spans="1:16" s="10" customFormat="1" outlineLevel="1" x14ac:dyDescent="0.2">
      <c r="A261" s="175" t="s">
        <v>408</v>
      </c>
      <c r="B261" s="108" t="s">
        <v>622</v>
      </c>
      <c r="C261" s="32" t="s">
        <v>385</v>
      </c>
      <c r="D261" s="5"/>
      <c r="E261" s="5"/>
      <c r="F261" s="15">
        <f t="shared" si="40"/>
        <v>0</v>
      </c>
      <c r="G261" s="8"/>
      <c r="H261" s="8"/>
      <c r="I261" s="8"/>
      <c r="J261" s="8"/>
      <c r="K261" s="8"/>
      <c r="L261" s="8"/>
      <c r="M261" s="8"/>
      <c r="N261" s="8"/>
      <c r="O261" s="8"/>
      <c r="P261" s="8"/>
    </row>
    <row r="262" spans="1:16" s="10" customFormat="1" ht="87" outlineLevel="1" x14ac:dyDescent="0.2">
      <c r="A262" s="174">
        <v>7.04</v>
      </c>
      <c r="B262" s="111" t="s">
        <v>651</v>
      </c>
      <c r="C262" s="40" t="s">
        <v>114</v>
      </c>
      <c r="D262" s="5"/>
      <c r="E262" s="5"/>
      <c r="F262" s="15">
        <f t="shared" ref="F262" si="41">IFERROR(E262*D262,0)</f>
        <v>0</v>
      </c>
      <c r="G262" s="8"/>
      <c r="H262" s="8"/>
      <c r="I262" s="8"/>
      <c r="J262" s="8"/>
      <c r="K262" s="8"/>
      <c r="L262" s="8"/>
      <c r="M262" s="8"/>
      <c r="N262" s="8"/>
      <c r="O262" s="8"/>
      <c r="P262" s="8"/>
    </row>
    <row r="263" spans="1:16" s="10" customFormat="1" ht="101.25" outlineLevel="1" x14ac:dyDescent="0.2">
      <c r="A263" s="174">
        <v>7.05</v>
      </c>
      <c r="B263" s="49" t="s">
        <v>646</v>
      </c>
      <c r="C263" s="2" t="s">
        <v>1</v>
      </c>
      <c r="D263" s="5"/>
      <c r="E263" s="5"/>
      <c r="F263" s="15">
        <f>IFERROR(E263*D263,0)</f>
        <v>0</v>
      </c>
      <c r="G263" s="8"/>
      <c r="H263" s="8"/>
      <c r="I263" s="8"/>
      <c r="J263" s="8"/>
      <c r="K263" s="8"/>
      <c r="L263" s="8"/>
      <c r="M263" s="8"/>
      <c r="N263" s="8"/>
      <c r="O263" s="8"/>
      <c r="P263" s="8"/>
    </row>
    <row r="264" spans="1:16" s="10" customFormat="1" ht="101.25" outlineLevel="1" x14ac:dyDescent="0.2">
      <c r="A264" s="174">
        <v>7.06</v>
      </c>
      <c r="B264" s="49" t="s">
        <v>647</v>
      </c>
      <c r="C264" s="2" t="s">
        <v>1</v>
      </c>
      <c r="D264" s="5"/>
      <c r="E264" s="5"/>
      <c r="F264" s="15">
        <f>IFERROR(E264*D264,0)</f>
        <v>0</v>
      </c>
      <c r="G264" s="8"/>
      <c r="H264" s="8"/>
      <c r="I264" s="8"/>
      <c r="J264" s="8"/>
      <c r="K264" s="8"/>
      <c r="L264" s="8"/>
      <c r="M264" s="8"/>
      <c r="N264" s="8"/>
      <c r="O264" s="8"/>
      <c r="P264" s="8"/>
    </row>
    <row r="265" spans="1:16" s="10" customFormat="1" ht="73.5" outlineLevel="1" x14ac:dyDescent="0.2">
      <c r="A265" s="174">
        <v>7.07</v>
      </c>
      <c r="B265" s="49" t="s">
        <v>623</v>
      </c>
      <c r="C265" s="2" t="s">
        <v>1</v>
      </c>
      <c r="D265" s="5"/>
      <c r="E265" s="5"/>
      <c r="F265" s="15">
        <f t="shared" ref="F265" si="42">IFERROR(E265*D265,0)</f>
        <v>0</v>
      </c>
      <c r="G265" s="8"/>
      <c r="H265" s="8"/>
      <c r="I265" s="8"/>
      <c r="J265" s="8"/>
      <c r="K265" s="8"/>
      <c r="L265" s="8"/>
      <c r="M265" s="8"/>
      <c r="N265" s="8"/>
      <c r="O265" s="8"/>
      <c r="P265" s="8"/>
    </row>
    <row r="266" spans="1:16" s="10" customFormat="1" ht="117" x14ac:dyDescent="0.2">
      <c r="A266" s="174">
        <v>7.08</v>
      </c>
      <c r="B266" s="49" t="s">
        <v>624</v>
      </c>
      <c r="C266" s="40" t="s">
        <v>114</v>
      </c>
      <c r="D266" s="5"/>
      <c r="E266" s="5"/>
      <c r="F266" s="15">
        <f t="shared" si="39"/>
        <v>0</v>
      </c>
      <c r="G266" s="8"/>
      <c r="H266" s="8"/>
      <c r="I266" s="8"/>
      <c r="J266" s="8"/>
      <c r="K266" s="8"/>
      <c r="L266" s="8"/>
      <c r="M266" s="8"/>
      <c r="N266" s="8"/>
      <c r="O266" s="8"/>
      <c r="P266" s="8"/>
    </row>
    <row r="267" spans="1:16" s="10" customFormat="1" ht="72" outlineLevel="1" x14ac:dyDescent="0.2">
      <c r="A267" s="174">
        <v>7.09</v>
      </c>
      <c r="B267" s="49" t="s">
        <v>123</v>
      </c>
      <c r="C267" s="2" t="s">
        <v>1</v>
      </c>
      <c r="D267" s="5"/>
      <c r="E267" s="5"/>
      <c r="F267" s="15">
        <f t="shared" si="39"/>
        <v>0</v>
      </c>
      <c r="G267" s="8"/>
      <c r="H267" s="8"/>
      <c r="I267" s="8"/>
      <c r="J267" s="8"/>
      <c r="K267" s="8"/>
      <c r="L267" s="8"/>
      <c r="M267" s="8"/>
      <c r="N267" s="8"/>
      <c r="O267" s="8"/>
      <c r="P267" s="8"/>
    </row>
    <row r="268" spans="1:16" s="10" customFormat="1" ht="58.5" outlineLevel="1" x14ac:dyDescent="0.2">
      <c r="A268" s="172">
        <v>7.1</v>
      </c>
      <c r="B268" s="49" t="s">
        <v>457</v>
      </c>
      <c r="C268" s="2" t="s">
        <v>100</v>
      </c>
      <c r="D268" s="5"/>
      <c r="E268" s="5"/>
      <c r="F268" s="15">
        <f t="shared" si="39"/>
        <v>0</v>
      </c>
      <c r="G268" s="8"/>
      <c r="H268" s="8"/>
    </row>
    <row r="269" spans="1:16" s="10" customFormat="1" ht="72" x14ac:dyDescent="0.2">
      <c r="A269" s="173">
        <v>7.11</v>
      </c>
      <c r="B269" s="49" t="s">
        <v>579</v>
      </c>
      <c r="C269" s="35" t="s">
        <v>100</v>
      </c>
      <c r="D269" s="16"/>
      <c r="E269" s="16"/>
      <c r="F269" s="9">
        <f t="shared" si="39"/>
        <v>0</v>
      </c>
      <c r="G269" s="8"/>
      <c r="H269" s="8"/>
      <c r="I269" s="8"/>
      <c r="J269" s="8"/>
      <c r="K269" s="8"/>
      <c r="L269" s="8"/>
      <c r="M269" s="8"/>
      <c r="N269" s="8"/>
      <c r="O269" s="8"/>
      <c r="P269" s="8"/>
    </row>
    <row r="270" spans="1:16" s="10" customFormat="1" ht="43.5" outlineLevel="1" x14ac:dyDescent="0.2">
      <c r="A270" s="172">
        <v>7.12</v>
      </c>
      <c r="B270" s="49" t="s">
        <v>580</v>
      </c>
      <c r="C270" s="2" t="s">
        <v>100</v>
      </c>
      <c r="D270" s="5"/>
      <c r="E270" s="5"/>
      <c r="F270" s="15">
        <f t="shared" si="39"/>
        <v>0</v>
      </c>
      <c r="G270" s="8"/>
      <c r="H270" s="8"/>
      <c r="I270" s="8"/>
      <c r="J270" s="8"/>
      <c r="K270" s="8"/>
      <c r="L270" s="8"/>
      <c r="M270" s="8"/>
      <c r="N270" s="8"/>
      <c r="O270" s="8"/>
      <c r="P270" s="8"/>
    </row>
    <row r="271" spans="1:16" s="10" customFormat="1" ht="44.25" outlineLevel="1" x14ac:dyDescent="0.2">
      <c r="A271" s="172">
        <v>7.13</v>
      </c>
      <c r="B271" s="49" t="s">
        <v>384</v>
      </c>
      <c r="C271" s="40" t="s">
        <v>114</v>
      </c>
      <c r="D271" s="5"/>
      <c r="E271" s="5"/>
      <c r="F271" s="15">
        <f t="shared" ref="F271:F278" si="43">IFERROR(E271*D271,0)</f>
        <v>0</v>
      </c>
      <c r="G271" s="8"/>
      <c r="H271" s="8"/>
      <c r="I271" s="8"/>
      <c r="J271" s="8"/>
      <c r="K271" s="8"/>
      <c r="L271" s="8"/>
      <c r="M271" s="8"/>
      <c r="N271" s="8"/>
      <c r="O271" s="8"/>
      <c r="P271" s="8"/>
    </row>
    <row r="272" spans="1:16" s="10" customFormat="1" ht="30" outlineLevel="1" x14ac:dyDescent="0.2">
      <c r="A272" s="172">
        <v>7.14</v>
      </c>
      <c r="B272" s="49" t="s">
        <v>581</v>
      </c>
      <c r="C272" s="2" t="s">
        <v>385</v>
      </c>
      <c r="D272" s="5"/>
      <c r="E272" s="5"/>
      <c r="F272" s="15">
        <f t="shared" si="43"/>
        <v>0</v>
      </c>
      <c r="G272" s="8"/>
      <c r="H272" s="8"/>
      <c r="I272" s="8"/>
      <c r="J272" s="8"/>
      <c r="K272" s="8"/>
      <c r="L272" s="8"/>
      <c r="M272" s="8"/>
      <c r="N272" s="8"/>
      <c r="O272" s="8"/>
      <c r="P272" s="8"/>
    </row>
    <row r="273" spans="1:16" s="10" customFormat="1" ht="29.25" outlineLevel="1" x14ac:dyDescent="0.2">
      <c r="A273" s="172">
        <v>7.15</v>
      </c>
      <c r="B273" s="49" t="s">
        <v>517</v>
      </c>
      <c r="C273" s="2" t="s">
        <v>385</v>
      </c>
      <c r="D273" s="5"/>
      <c r="E273" s="5"/>
      <c r="F273" s="15">
        <f t="shared" si="43"/>
        <v>0</v>
      </c>
      <c r="G273" s="8"/>
      <c r="H273" s="8"/>
      <c r="I273" s="8"/>
      <c r="J273" s="8"/>
      <c r="K273" s="8"/>
      <c r="L273" s="8"/>
      <c r="M273" s="8"/>
      <c r="N273" s="8"/>
      <c r="O273" s="8"/>
      <c r="P273" s="8"/>
    </row>
    <row r="274" spans="1:16" s="10" customFormat="1" ht="28.5" outlineLevel="1" x14ac:dyDescent="0.2">
      <c r="A274" s="172">
        <v>7.16</v>
      </c>
      <c r="B274" s="49" t="s">
        <v>630</v>
      </c>
      <c r="C274" s="2" t="s">
        <v>429</v>
      </c>
      <c r="D274" s="5"/>
      <c r="E274" s="5"/>
      <c r="F274" s="15">
        <f t="shared" si="43"/>
        <v>0</v>
      </c>
      <c r="G274" s="8"/>
      <c r="H274" s="8"/>
      <c r="I274" s="8"/>
      <c r="J274" s="8"/>
      <c r="K274" s="8"/>
      <c r="L274" s="8"/>
      <c r="M274" s="8"/>
      <c r="N274" s="8"/>
      <c r="O274" s="8"/>
      <c r="P274" s="8"/>
    </row>
    <row r="275" spans="1:16" s="10" customFormat="1" ht="14.25" outlineLevel="1" x14ac:dyDescent="0.2">
      <c r="A275" s="172">
        <v>7.17</v>
      </c>
      <c r="B275" s="45" t="s">
        <v>631</v>
      </c>
      <c r="C275" s="2" t="s">
        <v>429</v>
      </c>
      <c r="D275" s="5"/>
      <c r="E275" s="5"/>
      <c r="F275" s="15">
        <f t="shared" si="43"/>
        <v>0</v>
      </c>
      <c r="G275" s="8"/>
      <c r="H275" s="8"/>
      <c r="I275" s="8"/>
      <c r="J275" s="8"/>
      <c r="K275" s="8"/>
      <c r="L275" s="8"/>
      <c r="M275" s="8"/>
      <c r="N275" s="8"/>
      <c r="O275" s="8"/>
      <c r="P275" s="8"/>
    </row>
    <row r="276" spans="1:16" s="10" customFormat="1" ht="14.25" outlineLevel="1" x14ac:dyDescent="0.2">
      <c r="A276" s="172">
        <v>7.18</v>
      </c>
      <c r="B276" s="45" t="s">
        <v>632</v>
      </c>
      <c r="C276" s="2" t="s">
        <v>429</v>
      </c>
      <c r="D276" s="5"/>
      <c r="E276" s="5"/>
      <c r="F276" s="15">
        <f t="shared" si="43"/>
        <v>0</v>
      </c>
      <c r="G276" s="8"/>
      <c r="H276" s="8"/>
      <c r="I276" s="8"/>
      <c r="J276" s="8"/>
      <c r="K276" s="8"/>
      <c r="L276" s="8"/>
      <c r="M276" s="8"/>
      <c r="N276" s="8"/>
      <c r="O276" s="8"/>
      <c r="P276" s="8"/>
    </row>
    <row r="277" spans="1:16" s="10" customFormat="1" ht="14.25" outlineLevel="1" x14ac:dyDescent="0.2">
      <c r="A277" s="172">
        <v>7.19</v>
      </c>
      <c r="B277" s="45" t="s">
        <v>633</v>
      </c>
      <c r="C277" s="2" t="s">
        <v>429</v>
      </c>
      <c r="D277" s="5"/>
      <c r="E277" s="5"/>
      <c r="F277" s="15">
        <f t="shared" si="43"/>
        <v>0</v>
      </c>
      <c r="G277" s="8"/>
      <c r="H277" s="8"/>
      <c r="I277" s="8"/>
      <c r="J277" s="8"/>
      <c r="K277" s="8"/>
      <c r="L277" s="8"/>
      <c r="M277" s="8"/>
      <c r="N277" s="8"/>
      <c r="O277" s="8"/>
      <c r="P277" s="8"/>
    </row>
    <row r="278" spans="1:16" s="10" customFormat="1" ht="156.75" outlineLevel="1" x14ac:dyDescent="0.2">
      <c r="A278" s="146"/>
      <c r="B278" s="49" t="s">
        <v>431</v>
      </c>
      <c r="C278" s="2"/>
      <c r="D278" s="5"/>
      <c r="E278" s="5"/>
      <c r="F278" s="6">
        <f t="shared" si="43"/>
        <v>0</v>
      </c>
      <c r="G278" s="8"/>
      <c r="H278" s="8"/>
      <c r="I278" s="8"/>
      <c r="J278" s="8"/>
      <c r="K278" s="8"/>
      <c r="L278" s="8"/>
      <c r="M278" s="8"/>
      <c r="N278" s="8"/>
      <c r="O278" s="8"/>
      <c r="P278" s="8"/>
    </row>
    <row r="279" spans="1:16" s="10" customFormat="1" ht="14.25" outlineLevel="1" x14ac:dyDescent="0.2">
      <c r="A279" s="146"/>
      <c r="B279" s="49"/>
      <c r="C279" s="2"/>
      <c r="D279" s="5"/>
      <c r="E279" s="5"/>
      <c r="F279" s="6">
        <f t="shared" ref="F279:F305" si="44">IFERROR(E279*D279,0)</f>
        <v>0</v>
      </c>
      <c r="G279" s="8"/>
      <c r="H279" s="8"/>
      <c r="I279" s="8"/>
      <c r="J279" s="8"/>
      <c r="K279" s="8"/>
      <c r="L279" s="8"/>
      <c r="M279" s="8"/>
      <c r="N279" s="8"/>
      <c r="O279" s="8"/>
      <c r="P279" s="8"/>
    </row>
    <row r="280" spans="1:16" s="10" customFormat="1" ht="14.25" outlineLevel="1" x14ac:dyDescent="0.2">
      <c r="A280" s="146"/>
      <c r="B280" s="49"/>
      <c r="C280" s="2"/>
      <c r="D280" s="5"/>
      <c r="E280" s="5"/>
      <c r="F280" s="6">
        <f t="shared" si="44"/>
        <v>0</v>
      </c>
      <c r="G280" s="8"/>
      <c r="H280" s="8"/>
      <c r="I280" s="8"/>
      <c r="J280" s="8"/>
      <c r="K280" s="8"/>
      <c r="L280" s="8"/>
      <c r="M280" s="8"/>
      <c r="N280" s="8"/>
      <c r="O280" s="8"/>
      <c r="P280" s="8"/>
    </row>
    <row r="281" spans="1:16" s="10" customFormat="1" ht="14.25" outlineLevel="1" x14ac:dyDescent="0.2">
      <c r="A281" s="146"/>
      <c r="B281" s="49"/>
      <c r="C281" s="2"/>
      <c r="D281" s="5"/>
      <c r="E281" s="5"/>
      <c r="F281" s="6">
        <f t="shared" si="44"/>
        <v>0</v>
      </c>
      <c r="G281" s="8"/>
      <c r="H281" s="8"/>
      <c r="I281" s="8"/>
      <c r="J281" s="8"/>
      <c r="K281" s="8"/>
      <c r="L281" s="8"/>
      <c r="M281" s="8"/>
      <c r="N281" s="8"/>
      <c r="O281" s="8"/>
      <c r="P281" s="8"/>
    </row>
    <row r="282" spans="1:16" s="10" customFormat="1" ht="14.25" outlineLevel="1" x14ac:dyDescent="0.2">
      <c r="A282" s="146"/>
      <c r="B282" s="49"/>
      <c r="C282" s="2"/>
      <c r="D282" s="5"/>
      <c r="E282" s="5"/>
      <c r="F282" s="6">
        <f t="shared" si="44"/>
        <v>0</v>
      </c>
      <c r="G282" s="8"/>
      <c r="H282" s="8"/>
      <c r="I282" s="8"/>
      <c r="J282" s="8"/>
      <c r="K282" s="8"/>
      <c r="L282" s="8"/>
      <c r="M282" s="8"/>
      <c r="N282" s="8"/>
      <c r="O282" s="8"/>
      <c r="P282" s="8"/>
    </row>
    <row r="283" spans="1:16" s="10" customFormat="1" ht="14.25" outlineLevel="1" x14ac:dyDescent="0.2">
      <c r="A283" s="146"/>
      <c r="B283" s="49"/>
      <c r="C283" s="2"/>
      <c r="D283" s="5"/>
      <c r="E283" s="5"/>
      <c r="F283" s="6">
        <f t="shared" si="44"/>
        <v>0</v>
      </c>
      <c r="G283" s="8"/>
      <c r="H283" s="8"/>
      <c r="I283" s="8"/>
      <c r="J283" s="8"/>
      <c r="K283" s="8"/>
      <c r="L283" s="8"/>
      <c r="M283" s="8"/>
      <c r="N283" s="8"/>
      <c r="O283" s="8"/>
      <c r="P283" s="8"/>
    </row>
    <row r="284" spans="1:16" s="10" customFormat="1" ht="14.25" outlineLevel="1" x14ac:dyDescent="0.2">
      <c r="A284" s="146"/>
      <c r="B284" s="49"/>
      <c r="C284" s="2"/>
      <c r="D284" s="5"/>
      <c r="E284" s="5"/>
      <c r="F284" s="6">
        <f t="shared" si="44"/>
        <v>0</v>
      </c>
      <c r="G284" s="8"/>
      <c r="H284" s="8"/>
      <c r="I284" s="8"/>
      <c r="J284" s="8"/>
      <c r="K284" s="8"/>
      <c r="L284" s="8"/>
      <c r="M284" s="8"/>
      <c r="N284" s="8"/>
      <c r="O284" s="8"/>
      <c r="P284" s="8"/>
    </row>
    <row r="285" spans="1:16" s="10" customFormat="1" ht="14.25" outlineLevel="1" x14ac:dyDescent="0.2">
      <c r="A285" s="146"/>
      <c r="B285" s="49"/>
      <c r="C285" s="2"/>
      <c r="D285" s="5"/>
      <c r="E285" s="5"/>
      <c r="F285" s="6">
        <f t="shared" si="44"/>
        <v>0</v>
      </c>
      <c r="G285" s="8"/>
      <c r="H285" s="8"/>
      <c r="I285" s="8"/>
      <c r="J285" s="8"/>
      <c r="K285" s="8"/>
      <c r="L285" s="8"/>
      <c r="M285" s="8"/>
      <c r="N285" s="8"/>
      <c r="O285" s="8"/>
      <c r="P285" s="8"/>
    </row>
    <row r="286" spans="1:16" s="10" customFormat="1" ht="14.25" outlineLevel="1" x14ac:dyDescent="0.2">
      <c r="A286" s="146"/>
      <c r="B286" s="49"/>
      <c r="C286" s="2"/>
      <c r="D286" s="5"/>
      <c r="E286" s="5"/>
      <c r="F286" s="6">
        <f t="shared" si="44"/>
        <v>0</v>
      </c>
      <c r="G286" s="8"/>
      <c r="H286" s="8"/>
      <c r="I286" s="8"/>
      <c r="J286" s="8"/>
      <c r="K286" s="8"/>
      <c r="L286" s="8"/>
      <c r="M286" s="8"/>
      <c r="N286" s="8"/>
      <c r="O286" s="8"/>
      <c r="P286" s="8"/>
    </row>
    <row r="287" spans="1:16" s="10" customFormat="1" ht="14.25" outlineLevel="1" x14ac:dyDescent="0.2">
      <c r="A287" s="146"/>
      <c r="B287" s="49"/>
      <c r="C287" s="2"/>
      <c r="D287" s="5"/>
      <c r="E287" s="5"/>
      <c r="F287" s="6">
        <f t="shared" si="44"/>
        <v>0</v>
      </c>
      <c r="G287" s="8"/>
      <c r="H287" s="8"/>
      <c r="I287" s="8"/>
      <c r="J287" s="8"/>
      <c r="K287" s="8"/>
      <c r="L287" s="8"/>
      <c r="M287" s="8"/>
      <c r="N287" s="8"/>
      <c r="O287" s="8"/>
      <c r="P287" s="8"/>
    </row>
    <row r="288" spans="1:16" s="10" customFormat="1" ht="14.25" outlineLevel="1" x14ac:dyDescent="0.2">
      <c r="A288" s="146"/>
      <c r="B288" s="49"/>
      <c r="C288" s="2"/>
      <c r="D288" s="5"/>
      <c r="E288" s="5"/>
      <c r="F288" s="6">
        <f t="shared" si="44"/>
        <v>0</v>
      </c>
      <c r="G288" s="8"/>
      <c r="H288" s="8"/>
      <c r="I288" s="8"/>
      <c r="J288" s="8"/>
      <c r="K288" s="8"/>
      <c r="L288" s="8"/>
      <c r="M288" s="8"/>
      <c r="N288" s="8"/>
      <c r="O288" s="8"/>
      <c r="P288" s="8"/>
    </row>
    <row r="289" spans="1:16" s="10" customFormat="1" ht="14.25" outlineLevel="1" x14ac:dyDescent="0.2">
      <c r="A289" s="146"/>
      <c r="B289" s="49"/>
      <c r="C289" s="2"/>
      <c r="D289" s="5"/>
      <c r="E289" s="5"/>
      <c r="F289" s="6">
        <f t="shared" si="44"/>
        <v>0</v>
      </c>
      <c r="G289" s="8"/>
      <c r="H289" s="8"/>
      <c r="I289" s="8"/>
      <c r="J289" s="8"/>
      <c r="K289" s="8"/>
      <c r="L289" s="8"/>
      <c r="M289" s="8"/>
      <c r="N289" s="8"/>
      <c r="O289" s="8"/>
      <c r="P289" s="8"/>
    </row>
    <row r="290" spans="1:16" s="10" customFormat="1" ht="14.25" outlineLevel="1" x14ac:dyDescent="0.2">
      <c r="A290" s="146"/>
      <c r="B290" s="49"/>
      <c r="C290" s="2"/>
      <c r="D290" s="5"/>
      <c r="E290" s="5"/>
      <c r="F290" s="6">
        <f t="shared" si="44"/>
        <v>0</v>
      </c>
      <c r="G290" s="8"/>
      <c r="H290" s="8"/>
      <c r="I290" s="8"/>
      <c r="J290" s="8"/>
      <c r="K290" s="8"/>
      <c r="L290" s="8"/>
      <c r="M290" s="8"/>
      <c r="N290" s="8"/>
      <c r="O290" s="8"/>
      <c r="P290" s="8"/>
    </row>
    <row r="291" spans="1:16" s="10" customFormat="1" ht="14.25" outlineLevel="1" x14ac:dyDescent="0.2">
      <c r="A291" s="146"/>
      <c r="B291" s="49"/>
      <c r="C291" s="2"/>
      <c r="D291" s="5"/>
      <c r="E291" s="5"/>
      <c r="F291" s="6">
        <f t="shared" si="44"/>
        <v>0</v>
      </c>
      <c r="G291" s="8"/>
      <c r="H291" s="8"/>
      <c r="I291" s="8"/>
      <c r="J291" s="8"/>
      <c r="K291" s="8"/>
      <c r="L291" s="8"/>
      <c r="M291" s="8"/>
      <c r="N291" s="8"/>
      <c r="O291" s="8"/>
      <c r="P291" s="8"/>
    </row>
    <row r="292" spans="1:16" s="10" customFormat="1" ht="14.25" outlineLevel="1" x14ac:dyDescent="0.2">
      <c r="A292" s="146"/>
      <c r="B292" s="49"/>
      <c r="C292" s="2"/>
      <c r="D292" s="5"/>
      <c r="E292" s="5"/>
      <c r="F292" s="6">
        <f t="shared" si="44"/>
        <v>0</v>
      </c>
      <c r="G292" s="8"/>
      <c r="H292" s="8"/>
      <c r="I292" s="8"/>
      <c r="J292" s="8"/>
      <c r="K292" s="8"/>
      <c r="L292" s="8"/>
      <c r="M292" s="8"/>
      <c r="N292" s="8"/>
      <c r="O292" s="8"/>
      <c r="P292" s="8"/>
    </row>
    <row r="293" spans="1:16" s="10" customFormat="1" ht="14.25" outlineLevel="1" x14ac:dyDescent="0.2">
      <c r="A293" s="146"/>
      <c r="B293" s="49"/>
      <c r="C293" s="2"/>
      <c r="D293" s="5"/>
      <c r="E293" s="5"/>
      <c r="F293" s="6">
        <f t="shared" si="44"/>
        <v>0</v>
      </c>
      <c r="G293" s="8"/>
      <c r="H293" s="8"/>
      <c r="I293" s="8"/>
      <c r="J293" s="8"/>
      <c r="K293" s="8"/>
      <c r="L293" s="8"/>
      <c r="M293" s="8"/>
      <c r="N293" s="8"/>
      <c r="O293" s="8"/>
      <c r="P293" s="8"/>
    </row>
    <row r="294" spans="1:16" s="10" customFormat="1" ht="14.25" outlineLevel="1" x14ac:dyDescent="0.2">
      <c r="A294" s="146"/>
      <c r="B294" s="49"/>
      <c r="C294" s="2"/>
      <c r="D294" s="5"/>
      <c r="E294" s="5"/>
      <c r="F294" s="6">
        <f t="shared" si="44"/>
        <v>0</v>
      </c>
      <c r="G294" s="8"/>
      <c r="H294" s="8"/>
      <c r="I294" s="8"/>
      <c r="J294" s="8"/>
      <c r="K294" s="8"/>
      <c r="L294" s="8"/>
      <c r="M294" s="8"/>
      <c r="N294" s="8"/>
      <c r="O294" s="8"/>
      <c r="P294" s="8"/>
    </row>
    <row r="295" spans="1:16" s="10" customFormat="1" ht="14.25" outlineLevel="1" x14ac:dyDescent="0.2">
      <c r="A295" s="146"/>
      <c r="B295" s="49"/>
      <c r="C295" s="2"/>
      <c r="D295" s="5"/>
      <c r="E295" s="5"/>
      <c r="F295" s="6">
        <f t="shared" si="44"/>
        <v>0</v>
      </c>
      <c r="G295" s="8"/>
      <c r="H295" s="8"/>
      <c r="I295" s="8"/>
      <c r="J295" s="8"/>
      <c r="K295" s="8"/>
      <c r="L295" s="8"/>
      <c r="M295" s="8"/>
      <c r="N295" s="8"/>
      <c r="O295" s="8"/>
      <c r="P295" s="8"/>
    </row>
    <row r="296" spans="1:16" s="10" customFormat="1" ht="14.25" outlineLevel="1" x14ac:dyDescent="0.2">
      <c r="A296" s="146"/>
      <c r="B296" s="49"/>
      <c r="C296" s="2"/>
      <c r="D296" s="5"/>
      <c r="E296" s="5"/>
      <c r="F296" s="6">
        <f t="shared" si="44"/>
        <v>0</v>
      </c>
      <c r="G296" s="8"/>
      <c r="H296" s="8"/>
      <c r="I296" s="8"/>
      <c r="J296" s="8"/>
      <c r="K296" s="8"/>
      <c r="L296" s="8"/>
      <c r="M296" s="8"/>
      <c r="N296" s="8"/>
      <c r="O296" s="8"/>
      <c r="P296" s="8"/>
    </row>
    <row r="297" spans="1:16" s="10" customFormat="1" ht="14.25" outlineLevel="1" x14ac:dyDescent="0.2">
      <c r="A297" s="146"/>
      <c r="B297" s="49"/>
      <c r="C297" s="2"/>
      <c r="D297" s="5"/>
      <c r="E297" s="5"/>
      <c r="F297" s="6">
        <f t="shared" si="44"/>
        <v>0</v>
      </c>
      <c r="G297" s="8"/>
      <c r="H297" s="8"/>
      <c r="I297" s="8"/>
      <c r="J297" s="8"/>
      <c r="K297" s="8"/>
      <c r="L297" s="8"/>
      <c r="M297" s="8"/>
      <c r="N297" s="8"/>
      <c r="O297" s="8"/>
      <c r="P297" s="8"/>
    </row>
    <row r="298" spans="1:16" s="10" customFormat="1" ht="14.25" outlineLevel="1" x14ac:dyDescent="0.2">
      <c r="A298" s="146"/>
      <c r="B298" s="49"/>
      <c r="C298" s="2"/>
      <c r="D298" s="5"/>
      <c r="E298" s="5"/>
      <c r="F298" s="6">
        <f t="shared" si="44"/>
        <v>0</v>
      </c>
      <c r="G298" s="8"/>
      <c r="H298" s="8"/>
      <c r="I298" s="8"/>
      <c r="J298" s="8"/>
      <c r="K298" s="8"/>
      <c r="L298" s="8"/>
      <c r="M298" s="8"/>
      <c r="N298" s="8"/>
      <c r="O298" s="8"/>
      <c r="P298" s="8"/>
    </row>
    <row r="299" spans="1:16" s="10" customFormat="1" ht="14.25" outlineLevel="1" x14ac:dyDescent="0.2">
      <c r="A299" s="146"/>
      <c r="B299" s="49"/>
      <c r="C299" s="2"/>
      <c r="D299" s="5"/>
      <c r="E299" s="5"/>
      <c r="F299" s="6">
        <f t="shared" si="44"/>
        <v>0</v>
      </c>
      <c r="G299" s="8"/>
      <c r="H299" s="8"/>
      <c r="I299" s="8"/>
      <c r="J299" s="8"/>
      <c r="K299" s="8"/>
      <c r="L299" s="8"/>
      <c r="M299" s="8"/>
      <c r="N299" s="8"/>
      <c r="O299" s="8"/>
      <c r="P299" s="8"/>
    </row>
    <row r="300" spans="1:16" s="10" customFormat="1" ht="14.25" outlineLevel="1" x14ac:dyDescent="0.2">
      <c r="A300" s="146"/>
      <c r="B300" s="49"/>
      <c r="C300" s="2"/>
      <c r="D300" s="5"/>
      <c r="E300" s="5"/>
      <c r="F300" s="6">
        <f t="shared" si="44"/>
        <v>0</v>
      </c>
      <c r="G300" s="8"/>
      <c r="H300" s="8"/>
      <c r="I300" s="8"/>
      <c r="J300" s="8"/>
      <c r="K300" s="8"/>
      <c r="L300" s="8"/>
      <c r="M300" s="8"/>
      <c r="N300" s="8"/>
      <c r="O300" s="8"/>
      <c r="P300" s="8"/>
    </row>
    <row r="301" spans="1:16" s="10" customFormat="1" ht="14.25" outlineLevel="1" x14ac:dyDescent="0.2">
      <c r="A301" s="146"/>
      <c r="B301" s="49"/>
      <c r="C301" s="2"/>
      <c r="D301" s="5"/>
      <c r="E301" s="5"/>
      <c r="F301" s="6">
        <f t="shared" si="44"/>
        <v>0</v>
      </c>
      <c r="G301" s="8"/>
      <c r="H301" s="8"/>
      <c r="I301" s="8"/>
      <c r="J301" s="8"/>
      <c r="K301" s="8"/>
      <c r="L301" s="8"/>
      <c r="M301" s="8"/>
      <c r="N301" s="8"/>
      <c r="O301" s="8"/>
      <c r="P301" s="8"/>
    </row>
    <row r="302" spans="1:16" s="10" customFormat="1" ht="14.25" outlineLevel="1" x14ac:dyDescent="0.2">
      <c r="A302" s="146"/>
      <c r="B302" s="49"/>
      <c r="C302" s="2"/>
      <c r="D302" s="5"/>
      <c r="E302" s="5"/>
      <c r="F302" s="6">
        <f t="shared" si="44"/>
        <v>0</v>
      </c>
      <c r="G302" s="8"/>
      <c r="H302" s="8"/>
      <c r="I302" s="8"/>
      <c r="J302" s="8"/>
      <c r="K302" s="8"/>
      <c r="L302" s="8"/>
      <c r="M302" s="8"/>
      <c r="N302" s="8"/>
      <c r="O302" s="8"/>
      <c r="P302" s="8"/>
    </row>
    <row r="303" spans="1:16" s="10" customFormat="1" ht="14.25" outlineLevel="1" x14ac:dyDescent="0.2">
      <c r="A303" s="146"/>
      <c r="B303" s="49"/>
      <c r="C303" s="2"/>
      <c r="D303" s="5"/>
      <c r="E303" s="5"/>
      <c r="F303" s="6">
        <f t="shared" si="44"/>
        <v>0</v>
      </c>
      <c r="G303" s="8"/>
      <c r="H303" s="8"/>
      <c r="I303" s="8"/>
      <c r="J303" s="8"/>
      <c r="K303" s="8"/>
      <c r="L303" s="8"/>
      <c r="M303" s="8"/>
      <c r="N303" s="8"/>
      <c r="O303" s="8"/>
      <c r="P303" s="8"/>
    </row>
    <row r="304" spans="1:16" s="10" customFormat="1" ht="14.25" outlineLevel="1" x14ac:dyDescent="0.2">
      <c r="A304" s="146"/>
      <c r="B304" s="49"/>
      <c r="C304" s="2"/>
      <c r="D304" s="5"/>
      <c r="E304" s="5"/>
      <c r="F304" s="6">
        <f t="shared" si="44"/>
        <v>0</v>
      </c>
      <c r="G304" s="8"/>
      <c r="H304" s="8"/>
      <c r="I304" s="8"/>
      <c r="J304" s="8"/>
      <c r="K304" s="8"/>
      <c r="L304" s="8"/>
      <c r="M304" s="8"/>
      <c r="N304" s="8"/>
      <c r="O304" s="8"/>
      <c r="P304" s="8"/>
    </row>
    <row r="305" spans="1:16" s="10" customFormat="1" ht="14.25" outlineLevel="1" x14ac:dyDescent="0.2">
      <c r="A305" s="146"/>
      <c r="B305" s="49"/>
      <c r="C305" s="2"/>
      <c r="D305" s="5"/>
      <c r="E305" s="5"/>
      <c r="F305" s="6">
        <f t="shared" si="44"/>
        <v>0</v>
      </c>
      <c r="G305" s="8"/>
      <c r="H305" s="8"/>
      <c r="I305" s="8"/>
      <c r="J305" s="8"/>
      <c r="K305" s="8"/>
      <c r="L305" s="8"/>
      <c r="M305" s="8"/>
      <c r="N305" s="8"/>
      <c r="O305" s="8"/>
      <c r="P305" s="8"/>
    </row>
    <row r="306" spans="1:16" ht="24.95" customHeight="1" x14ac:dyDescent="0.2">
      <c r="A306" s="147"/>
      <c r="B306" s="127" t="s">
        <v>87</v>
      </c>
      <c r="C306" s="144"/>
      <c r="D306" s="145"/>
      <c r="E306" s="145"/>
      <c r="F306" s="98">
        <f>SUM(F234:F305)</f>
        <v>0</v>
      </c>
      <c r="G306" s="23"/>
      <c r="H306" s="23"/>
      <c r="I306" s="23"/>
      <c r="J306" s="23"/>
      <c r="K306" s="23"/>
      <c r="L306" s="23"/>
      <c r="M306" s="23"/>
      <c r="N306" s="23"/>
      <c r="O306" s="23"/>
      <c r="P306" s="23"/>
    </row>
    <row r="307" spans="1:16" ht="24.95" customHeight="1" outlineLevel="1" x14ac:dyDescent="0.2">
      <c r="A307" s="11"/>
      <c r="B307" s="126" t="s">
        <v>88</v>
      </c>
      <c r="C307" s="144"/>
      <c r="D307" s="145"/>
      <c r="E307" s="145"/>
      <c r="F307" s="145"/>
      <c r="G307" s="23"/>
      <c r="H307" s="23"/>
      <c r="I307" s="23"/>
      <c r="J307" s="23"/>
      <c r="K307" s="23"/>
      <c r="L307" s="23"/>
      <c r="M307" s="23"/>
      <c r="N307" s="23"/>
      <c r="O307" s="23"/>
      <c r="P307" s="23"/>
    </row>
    <row r="308" spans="1:16" s="112" customFormat="1" ht="30" x14ac:dyDescent="0.25">
      <c r="A308" s="163">
        <v>8.01</v>
      </c>
      <c r="B308" s="167" t="s">
        <v>519</v>
      </c>
      <c r="C308" s="168"/>
      <c r="D308" s="169"/>
      <c r="E308" s="169"/>
      <c r="F308" s="169"/>
      <c r="G308" s="170"/>
      <c r="H308" s="170"/>
      <c r="I308" s="170"/>
      <c r="J308" s="170"/>
      <c r="K308" s="170"/>
      <c r="L308" s="170"/>
      <c r="M308" s="170"/>
      <c r="N308" s="170"/>
      <c r="O308" s="170"/>
      <c r="P308" s="170"/>
    </row>
    <row r="309" spans="1:16" s="13" customFormat="1" ht="51" x14ac:dyDescent="0.2">
      <c r="A309" s="35" t="s">
        <v>130</v>
      </c>
      <c r="B309" s="1" t="s">
        <v>450</v>
      </c>
      <c r="C309" s="40" t="s">
        <v>114</v>
      </c>
      <c r="D309" s="16"/>
      <c r="E309" s="16"/>
      <c r="F309" s="9">
        <f>IFERROR(E309*D309,0)</f>
        <v>0</v>
      </c>
    </row>
    <row r="310" spans="1:16" s="13" customFormat="1" ht="90" x14ac:dyDescent="0.2">
      <c r="A310" s="35" t="s">
        <v>129</v>
      </c>
      <c r="B310" s="49" t="s">
        <v>520</v>
      </c>
      <c r="C310" s="40" t="s">
        <v>114</v>
      </c>
      <c r="D310" s="16"/>
      <c r="E310" s="16"/>
      <c r="F310" s="9">
        <f t="shared" ref="F310:F354" si="45">IFERROR(E310*D310,0)</f>
        <v>0</v>
      </c>
      <c r="G310" s="8"/>
      <c r="H310" s="8"/>
      <c r="I310" s="8"/>
      <c r="J310" s="8"/>
      <c r="K310" s="8"/>
      <c r="L310" s="8"/>
      <c r="M310" s="8"/>
      <c r="N310" s="8"/>
      <c r="O310" s="8"/>
      <c r="P310" s="8"/>
    </row>
    <row r="311" spans="1:16" s="13" customFormat="1" ht="90" x14ac:dyDescent="0.2">
      <c r="A311" s="35" t="s">
        <v>131</v>
      </c>
      <c r="B311" s="49" t="s">
        <v>521</v>
      </c>
      <c r="C311" s="40" t="s">
        <v>114</v>
      </c>
      <c r="D311" s="16"/>
      <c r="E311" s="16"/>
      <c r="F311" s="9">
        <f t="shared" si="45"/>
        <v>0</v>
      </c>
      <c r="G311" s="8"/>
      <c r="H311" s="8"/>
      <c r="I311" s="8"/>
      <c r="J311" s="8"/>
      <c r="K311" s="8"/>
      <c r="L311" s="8"/>
      <c r="M311" s="8"/>
      <c r="N311" s="8"/>
      <c r="O311" s="8"/>
      <c r="P311" s="8"/>
    </row>
    <row r="312" spans="1:16" s="13" customFormat="1" ht="75.75" x14ac:dyDescent="0.2">
      <c r="A312" s="35" t="s">
        <v>132</v>
      </c>
      <c r="B312" s="49" t="s">
        <v>522</v>
      </c>
      <c r="C312" s="40" t="s">
        <v>114</v>
      </c>
      <c r="D312" s="16"/>
      <c r="E312" s="16"/>
      <c r="F312" s="9">
        <f t="shared" si="45"/>
        <v>0</v>
      </c>
      <c r="G312" s="8"/>
      <c r="H312" s="8"/>
      <c r="I312" s="8"/>
      <c r="J312" s="8"/>
      <c r="K312" s="8"/>
      <c r="L312" s="8"/>
      <c r="M312" s="8"/>
      <c r="N312" s="8"/>
      <c r="O312" s="8"/>
      <c r="P312" s="8"/>
    </row>
    <row r="313" spans="1:16" s="13" customFormat="1" ht="75.75" x14ac:dyDescent="0.2">
      <c r="A313" s="35" t="s">
        <v>133</v>
      </c>
      <c r="B313" s="49" t="s">
        <v>523</v>
      </c>
      <c r="C313" s="40" t="s">
        <v>114</v>
      </c>
      <c r="D313" s="16"/>
      <c r="E313" s="16"/>
      <c r="F313" s="9">
        <f t="shared" si="45"/>
        <v>0</v>
      </c>
      <c r="G313" s="8"/>
      <c r="H313" s="8"/>
      <c r="I313" s="8"/>
      <c r="J313" s="8"/>
      <c r="K313" s="8"/>
      <c r="L313" s="8"/>
      <c r="M313" s="8"/>
      <c r="N313" s="8"/>
      <c r="O313" s="8"/>
      <c r="P313" s="8"/>
    </row>
    <row r="314" spans="1:16" s="13" customFormat="1" ht="75.75" x14ac:dyDescent="0.2">
      <c r="A314" s="35" t="s">
        <v>134</v>
      </c>
      <c r="B314" s="49" t="s">
        <v>524</v>
      </c>
      <c r="C314" s="40" t="s">
        <v>114</v>
      </c>
      <c r="D314" s="16"/>
      <c r="E314" s="16"/>
      <c r="F314" s="9">
        <f t="shared" si="45"/>
        <v>0</v>
      </c>
      <c r="G314" s="8"/>
      <c r="H314" s="8"/>
      <c r="I314" s="8"/>
      <c r="J314" s="8"/>
      <c r="K314" s="8"/>
      <c r="L314" s="8"/>
      <c r="M314" s="8"/>
      <c r="N314" s="8"/>
      <c r="O314" s="8"/>
      <c r="P314" s="8"/>
    </row>
    <row r="315" spans="1:16" s="13" customFormat="1" ht="75" x14ac:dyDescent="0.2">
      <c r="A315" s="35" t="s">
        <v>458</v>
      </c>
      <c r="B315" s="49" t="s">
        <v>525</v>
      </c>
      <c r="C315" s="40" t="s">
        <v>114</v>
      </c>
      <c r="D315" s="16"/>
      <c r="E315" s="16"/>
      <c r="F315" s="9">
        <f t="shared" si="45"/>
        <v>0</v>
      </c>
      <c r="G315" s="8"/>
      <c r="H315" s="8"/>
      <c r="I315" s="8"/>
      <c r="J315" s="8"/>
      <c r="K315" s="8"/>
      <c r="L315" s="8"/>
      <c r="M315" s="8"/>
      <c r="N315" s="8"/>
      <c r="O315" s="8"/>
      <c r="P315" s="8"/>
    </row>
    <row r="316" spans="1:16" s="13" customFormat="1" ht="75.75" x14ac:dyDescent="0.2">
      <c r="A316" s="35" t="s">
        <v>526</v>
      </c>
      <c r="B316" s="49" t="s">
        <v>527</v>
      </c>
      <c r="C316" s="40" t="s">
        <v>114</v>
      </c>
      <c r="D316" s="16"/>
      <c r="E316" s="16"/>
      <c r="F316" s="9">
        <f t="shared" si="45"/>
        <v>0</v>
      </c>
      <c r="G316" s="8"/>
      <c r="H316" s="8"/>
      <c r="I316" s="8"/>
      <c r="J316" s="8"/>
      <c r="K316" s="8"/>
      <c r="L316" s="8"/>
      <c r="M316" s="8"/>
      <c r="N316" s="8"/>
      <c r="O316" s="8"/>
      <c r="P316" s="8"/>
    </row>
    <row r="317" spans="1:16" s="13" customFormat="1" x14ac:dyDescent="0.2">
      <c r="A317" s="35"/>
      <c r="B317" s="49"/>
      <c r="C317" s="40"/>
      <c r="D317" s="16"/>
      <c r="E317" s="16"/>
      <c r="F317" s="9"/>
      <c r="G317" s="8"/>
      <c r="H317" s="8"/>
      <c r="I317" s="8"/>
      <c r="J317" s="8"/>
      <c r="K317" s="8"/>
      <c r="L317" s="8"/>
      <c r="M317" s="8"/>
      <c r="N317" s="8"/>
      <c r="O317" s="8"/>
      <c r="P317" s="8"/>
    </row>
    <row r="318" spans="1:16" s="13" customFormat="1" ht="30" x14ac:dyDescent="0.25">
      <c r="A318" s="164">
        <v>8.02</v>
      </c>
      <c r="B318" s="37" t="s">
        <v>528</v>
      </c>
      <c r="C318" s="40"/>
      <c r="D318" s="16"/>
      <c r="E318" s="16"/>
      <c r="F318" s="9">
        <f t="shared" si="45"/>
        <v>0</v>
      </c>
    </row>
    <row r="319" spans="1:16" s="13" customFormat="1" ht="57.75" x14ac:dyDescent="0.2">
      <c r="A319" s="35" t="s">
        <v>136</v>
      </c>
      <c r="B319" s="49" t="s">
        <v>529</v>
      </c>
      <c r="C319" s="40" t="s">
        <v>114</v>
      </c>
      <c r="D319" s="16"/>
      <c r="E319" s="16"/>
      <c r="F319" s="9">
        <f t="shared" si="45"/>
        <v>0</v>
      </c>
      <c r="G319" s="8"/>
      <c r="H319" s="8"/>
      <c r="I319" s="8"/>
      <c r="J319" s="8"/>
      <c r="K319" s="8"/>
      <c r="L319" s="8"/>
      <c r="M319" s="8"/>
      <c r="N319" s="8"/>
      <c r="O319" s="8"/>
      <c r="P319" s="8"/>
    </row>
    <row r="320" spans="1:16" s="13" customFormat="1" ht="73.5" x14ac:dyDescent="0.2">
      <c r="A320" s="35" t="s">
        <v>135</v>
      </c>
      <c r="B320" s="49" t="s">
        <v>530</v>
      </c>
      <c r="C320" s="40" t="s">
        <v>114</v>
      </c>
      <c r="D320" s="16"/>
      <c r="E320" s="16"/>
      <c r="F320" s="9">
        <f t="shared" si="45"/>
        <v>0</v>
      </c>
    </row>
    <row r="321" spans="1:16" s="13" customFormat="1" ht="72.75" x14ac:dyDescent="0.2">
      <c r="A321" s="35" t="s">
        <v>137</v>
      </c>
      <c r="B321" s="49" t="s">
        <v>531</v>
      </c>
      <c r="C321" s="40" t="s">
        <v>114</v>
      </c>
      <c r="D321" s="16"/>
      <c r="E321" s="16"/>
      <c r="F321" s="9">
        <f t="shared" si="45"/>
        <v>0</v>
      </c>
      <c r="G321" s="8"/>
      <c r="H321" s="8"/>
      <c r="I321" s="8"/>
      <c r="J321" s="8"/>
      <c r="K321" s="8"/>
      <c r="L321" s="8"/>
      <c r="M321" s="8"/>
      <c r="N321" s="8"/>
      <c r="O321" s="8"/>
      <c r="P321" s="8"/>
    </row>
    <row r="322" spans="1:16" s="13" customFormat="1" ht="72.75" x14ac:dyDescent="0.2">
      <c r="A322" s="35" t="s">
        <v>138</v>
      </c>
      <c r="B322" s="49" t="s">
        <v>532</v>
      </c>
      <c r="C322" s="40" t="s">
        <v>114</v>
      </c>
      <c r="D322" s="16"/>
      <c r="E322" s="16"/>
      <c r="F322" s="9">
        <f t="shared" si="45"/>
        <v>0</v>
      </c>
      <c r="G322" s="8"/>
      <c r="H322" s="8"/>
      <c r="I322" s="8"/>
      <c r="J322" s="8"/>
      <c r="K322" s="8"/>
      <c r="L322" s="8"/>
      <c r="M322" s="8"/>
      <c r="N322" s="8"/>
      <c r="O322" s="8"/>
      <c r="P322" s="8"/>
    </row>
    <row r="323" spans="1:16" s="13" customFormat="1" ht="30" x14ac:dyDescent="0.25">
      <c r="A323" s="164">
        <v>8.0299999999999994</v>
      </c>
      <c r="B323" s="37" t="s">
        <v>533</v>
      </c>
      <c r="C323" s="40"/>
      <c r="D323" s="16"/>
      <c r="E323" s="16"/>
      <c r="F323" s="9">
        <f t="shared" si="45"/>
        <v>0</v>
      </c>
      <c r="G323" s="8"/>
      <c r="H323" s="8"/>
      <c r="I323" s="8"/>
      <c r="J323" s="8"/>
      <c r="K323" s="8"/>
      <c r="L323" s="8"/>
      <c r="M323" s="8"/>
      <c r="N323" s="8"/>
      <c r="O323" s="8"/>
      <c r="P323" s="8"/>
    </row>
    <row r="324" spans="1:16" s="13" customFormat="1" ht="73.5" x14ac:dyDescent="0.2">
      <c r="A324" s="35" t="s">
        <v>390</v>
      </c>
      <c r="B324" s="49" t="s">
        <v>564</v>
      </c>
      <c r="C324" s="40" t="s">
        <v>114</v>
      </c>
      <c r="D324" s="16"/>
      <c r="E324" s="16"/>
      <c r="F324" s="9">
        <f t="shared" si="45"/>
        <v>0</v>
      </c>
      <c r="G324" s="8"/>
      <c r="H324" s="8"/>
      <c r="I324" s="8"/>
      <c r="J324" s="8"/>
      <c r="K324" s="8"/>
      <c r="L324" s="8"/>
      <c r="M324" s="8"/>
      <c r="N324" s="8"/>
      <c r="O324" s="8"/>
      <c r="P324" s="8"/>
    </row>
    <row r="325" spans="1:16" s="13" customFormat="1" ht="73.5" x14ac:dyDescent="0.2">
      <c r="A325" s="35" t="s">
        <v>140</v>
      </c>
      <c r="B325" s="49" t="s">
        <v>565</v>
      </c>
      <c r="C325" s="40" t="s">
        <v>114</v>
      </c>
      <c r="D325" s="16"/>
      <c r="E325" s="16"/>
      <c r="F325" s="9">
        <f t="shared" si="45"/>
        <v>0</v>
      </c>
      <c r="G325" s="8"/>
      <c r="H325" s="8"/>
      <c r="I325" s="8"/>
      <c r="J325" s="8"/>
      <c r="K325" s="8"/>
      <c r="L325" s="8"/>
      <c r="M325" s="8"/>
      <c r="N325" s="8"/>
      <c r="O325" s="8"/>
      <c r="P325" s="8"/>
    </row>
    <row r="326" spans="1:16" s="13" customFormat="1" ht="75.75" x14ac:dyDescent="0.2">
      <c r="A326" s="35" t="s">
        <v>139</v>
      </c>
      <c r="B326" s="49" t="s">
        <v>534</v>
      </c>
      <c r="C326" s="40" t="s">
        <v>114</v>
      </c>
      <c r="D326" s="16"/>
      <c r="E326" s="16"/>
      <c r="F326" s="9">
        <f t="shared" si="45"/>
        <v>0</v>
      </c>
      <c r="G326" s="8"/>
      <c r="H326" s="8"/>
      <c r="I326" s="8"/>
      <c r="J326" s="8"/>
      <c r="K326" s="8"/>
      <c r="L326" s="8"/>
      <c r="M326" s="8"/>
      <c r="N326" s="8"/>
      <c r="O326" s="8"/>
      <c r="P326" s="8"/>
    </row>
    <row r="327" spans="1:16" s="13" customFormat="1" ht="75.75" x14ac:dyDescent="0.2">
      <c r="A327" s="35" t="s">
        <v>141</v>
      </c>
      <c r="B327" s="49" t="s">
        <v>535</v>
      </c>
      <c r="C327" s="40" t="s">
        <v>114</v>
      </c>
      <c r="D327" s="16"/>
      <c r="E327" s="16"/>
      <c r="F327" s="9">
        <f t="shared" si="45"/>
        <v>0</v>
      </c>
      <c r="G327" s="8"/>
      <c r="H327" s="8"/>
      <c r="I327" s="8"/>
      <c r="J327" s="8"/>
      <c r="K327" s="8"/>
      <c r="L327" s="8"/>
      <c r="M327" s="8"/>
      <c r="N327" s="8"/>
      <c r="O327" s="8"/>
      <c r="P327" s="8"/>
    </row>
    <row r="328" spans="1:16" s="13" customFormat="1" ht="57.75" x14ac:dyDescent="0.2">
      <c r="A328" s="35" t="s">
        <v>142</v>
      </c>
      <c r="B328" s="49" t="s">
        <v>536</v>
      </c>
      <c r="C328" s="40" t="s">
        <v>114</v>
      </c>
      <c r="D328" s="16"/>
      <c r="E328" s="16"/>
      <c r="F328" s="9">
        <f t="shared" si="45"/>
        <v>0</v>
      </c>
      <c r="G328" s="8"/>
      <c r="H328" s="8"/>
      <c r="I328" s="8"/>
      <c r="J328" s="8"/>
      <c r="K328" s="8"/>
      <c r="L328" s="8"/>
      <c r="M328" s="8"/>
      <c r="N328" s="8"/>
      <c r="O328" s="8"/>
      <c r="P328" s="8"/>
    </row>
    <row r="329" spans="1:16" s="13" customFormat="1" ht="72.75" x14ac:dyDescent="0.2">
      <c r="A329" s="35" t="s">
        <v>143</v>
      </c>
      <c r="B329" s="49" t="s">
        <v>537</v>
      </c>
      <c r="C329" s="40" t="s">
        <v>114</v>
      </c>
      <c r="D329" s="16"/>
      <c r="E329" s="16"/>
      <c r="F329" s="9">
        <f>IFERROR(E329*D329,0)</f>
        <v>0</v>
      </c>
      <c r="G329" s="8"/>
      <c r="H329" s="8"/>
      <c r="I329" s="8"/>
      <c r="J329" s="8"/>
      <c r="K329" s="8"/>
      <c r="L329" s="8"/>
      <c r="M329" s="8"/>
      <c r="N329" s="8"/>
      <c r="O329" s="8"/>
      <c r="P329" s="8"/>
    </row>
    <row r="330" spans="1:16" s="13" customFormat="1" ht="57.75" x14ac:dyDescent="0.2">
      <c r="A330" s="35" t="s">
        <v>391</v>
      </c>
      <c r="B330" s="49" t="s">
        <v>538</v>
      </c>
      <c r="C330" s="40" t="s">
        <v>114</v>
      </c>
      <c r="D330" s="16"/>
      <c r="E330" s="16"/>
      <c r="F330" s="9">
        <f t="shared" ref="F330" si="46">IFERROR(E330*D330,0)</f>
        <v>0</v>
      </c>
      <c r="G330" s="8"/>
      <c r="H330" s="8"/>
      <c r="I330" s="8"/>
      <c r="J330" s="8"/>
      <c r="K330" s="8"/>
      <c r="L330" s="8"/>
      <c r="M330" s="8"/>
      <c r="N330" s="8"/>
      <c r="O330" s="8"/>
      <c r="P330" s="8"/>
    </row>
    <row r="331" spans="1:16" s="13" customFormat="1" ht="57.75" x14ac:dyDescent="0.2">
      <c r="A331" s="35" t="s">
        <v>539</v>
      </c>
      <c r="B331" s="49" t="s">
        <v>540</v>
      </c>
      <c r="C331" s="40" t="s">
        <v>114</v>
      </c>
      <c r="D331" s="16"/>
      <c r="E331" s="16"/>
      <c r="F331" s="9">
        <f t="shared" si="45"/>
        <v>0</v>
      </c>
      <c r="G331" s="8"/>
      <c r="H331" s="8"/>
      <c r="I331" s="8"/>
      <c r="J331" s="8"/>
      <c r="K331" s="8"/>
      <c r="L331" s="8"/>
      <c r="M331" s="8"/>
      <c r="N331" s="8"/>
      <c r="O331" s="8"/>
      <c r="P331" s="8"/>
    </row>
    <row r="332" spans="1:16" s="13" customFormat="1" ht="30" x14ac:dyDescent="0.25">
      <c r="A332" s="164">
        <v>8.0399999999999991</v>
      </c>
      <c r="B332" s="37" t="s">
        <v>541</v>
      </c>
      <c r="C332" s="40"/>
      <c r="D332" s="16"/>
      <c r="E332" s="16"/>
      <c r="F332" s="9">
        <f t="shared" si="45"/>
        <v>0</v>
      </c>
      <c r="G332" s="8"/>
      <c r="H332" s="8"/>
      <c r="I332" s="8"/>
      <c r="J332" s="8"/>
      <c r="K332" s="8"/>
      <c r="L332" s="8"/>
      <c r="M332" s="8"/>
      <c r="N332" s="8"/>
      <c r="O332" s="8"/>
      <c r="P332" s="8"/>
    </row>
    <row r="333" spans="1:16" s="13" customFormat="1" ht="72.75" x14ac:dyDescent="0.2">
      <c r="A333" s="35" t="s">
        <v>144</v>
      </c>
      <c r="B333" s="49" t="s">
        <v>582</v>
      </c>
      <c r="C333" s="40" t="s">
        <v>114</v>
      </c>
      <c r="D333" s="16"/>
      <c r="E333" s="16"/>
      <c r="F333" s="9">
        <f t="shared" si="45"/>
        <v>0</v>
      </c>
      <c r="G333" s="8"/>
      <c r="H333" s="8"/>
      <c r="I333" s="8"/>
      <c r="J333" s="8"/>
      <c r="K333" s="8"/>
      <c r="L333" s="8"/>
      <c r="M333" s="8"/>
      <c r="N333" s="8"/>
      <c r="O333" s="8"/>
      <c r="P333" s="8"/>
    </row>
    <row r="334" spans="1:16" s="13" customFormat="1" ht="72.75" x14ac:dyDescent="0.2">
      <c r="A334" s="35" t="s">
        <v>145</v>
      </c>
      <c r="B334" s="49" t="s">
        <v>583</v>
      </c>
      <c r="C334" s="40" t="s">
        <v>114</v>
      </c>
      <c r="D334" s="16"/>
      <c r="E334" s="16"/>
      <c r="F334" s="9">
        <f t="shared" si="45"/>
        <v>0</v>
      </c>
      <c r="G334" s="8"/>
      <c r="H334" s="8"/>
      <c r="I334" s="8"/>
      <c r="J334" s="8"/>
      <c r="K334" s="8"/>
      <c r="L334" s="8"/>
      <c r="M334" s="8"/>
      <c r="N334" s="8"/>
      <c r="O334" s="8"/>
      <c r="P334" s="8"/>
    </row>
    <row r="335" spans="1:16" s="13" customFormat="1" ht="43.5" x14ac:dyDescent="0.2">
      <c r="A335" s="35" t="s">
        <v>542</v>
      </c>
      <c r="B335" s="49" t="s">
        <v>584</v>
      </c>
      <c r="C335" s="40" t="s">
        <v>114</v>
      </c>
      <c r="D335" s="16"/>
      <c r="E335" s="16"/>
      <c r="F335" s="9">
        <f t="shared" si="45"/>
        <v>0</v>
      </c>
      <c r="G335" s="8"/>
      <c r="H335" s="8"/>
      <c r="I335" s="8"/>
      <c r="J335" s="8"/>
      <c r="K335" s="8"/>
      <c r="L335" s="8"/>
      <c r="M335" s="8"/>
      <c r="N335" s="8"/>
      <c r="O335" s="8"/>
      <c r="P335" s="8"/>
    </row>
    <row r="336" spans="1:16" s="13" customFormat="1" ht="43.5" x14ac:dyDescent="0.2">
      <c r="A336" s="35" t="s">
        <v>543</v>
      </c>
      <c r="B336" s="49" t="s">
        <v>585</v>
      </c>
      <c r="C336" s="40" t="s">
        <v>114</v>
      </c>
      <c r="D336" s="16"/>
      <c r="E336" s="16"/>
      <c r="F336" s="9">
        <f t="shared" si="45"/>
        <v>0</v>
      </c>
      <c r="G336" s="8"/>
      <c r="H336" s="8"/>
      <c r="I336" s="8"/>
      <c r="J336" s="8"/>
      <c r="K336" s="8"/>
      <c r="L336" s="8"/>
      <c r="M336" s="8"/>
      <c r="N336" s="8"/>
      <c r="O336" s="8"/>
      <c r="P336" s="8"/>
    </row>
    <row r="337" spans="1:16" s="13" customFormat="1" ht="30" x14ac:dyDescent="0.2">
      <c r="A337" s="165">
        <v>8.0500000000000007</v>
      </c>
      <c r="B337" s="37" t="s">
        <v>544</v>
      </c>
      <c r="C337" s="40"/>
      <c r="D337" s="16"/>
      <c r="E337" s="16"/>
      <c r="F337" s="9">
        <f t="shared" si="45"/>
        <v>0</v>
      </c>
      <c r="G337" s="8"/>
      <c r="H337" s="8"/>
      <c r="I337" s="8"/>
      <c r="J337" s="8"/>
      <c r="K337" s="8"/>
      <c r="L337" s="8"/>
      <c r="M337" s="8"/>
      <c r="N337" s="8"/>
      <c r="O337" s="8"/>
      <c r="P337" s="8"/>
    </row>
    <row r="338" spans="1:16" s="13" customFormat="1" ht="87" x14ac:dyDescent="0.2">
      <c r="A338" s="35" t="s">
        <v>146</v>
      </c>
      <c r="B338" s="49" t="s">
        <v>634</v>
      </c>
      <c r="C338" s="40" t="s">
        <v>114</v>
      </c>
      <c r="D338" s="16"/>
      <c r="E338" s="16"/>
      <c r="F338" s="9">
        <f t="shared" si="45"/>
        <v>0</v>
      </c>
      <c r="G338" s="8"/>
      <c r="H338" s="8"/>
      <c r="I338" s="8"/>
      <c r="J338" s="8"/>
      <c r="K338" s="8"/>
      <c r="L338" s="8"/>
      <c r="M338" s="8"/>
      <c r="N338" s="8"/>
      <c r="O338" s="8"/>
      <c r="P338" s="8"/>
    </row>
    <row r="339" spans="1:16" s="13" customFormat="1" x14ac:dyDescent="0.2">
      <c r="A339" s="35" t="s">
        <v>545</v>
      </c>
      <c r="B339" s="49" t="s">
        <v>546</v>
      </c>
      <c r="C339" s="40" t="s">
        <v>111</v>
      </c>
      <c r="D339" s="16"/>
      <c r="E339" s="16"/>
      <c r="F339" s="9">
        <f t="shared" si="45"/>
        <v>0</v>
      </c>
      <c r="G339" s="8"/>
      <c r="H339" s="8"/>
      <c r="I339" s="8"/>
      <c r="J339" s="8"/>
      <c r="K339" s="8"/>
      <c r="L339" s="8"/>
      <c r="M339" s="8"/>
      <c r="N339" s="8"/>
      <c r="O339" s="8"/>
      <c r="P339" s="8"/>
    </row>
    <row r="340" spans="1:16" s="13" customFormat="1" x14ac:dyDescent="0.2">
      <c r="A340" s="35" t="s">
        <v>547</v>
      </c>
      <c r="B340" s="49" t="s">
        <v>548</v>
      </c>
      <c r="C340" s="40" t="s">
        <v>111</v>
      </c>
      <c r="D340" s="16"/>
      <c r="E340" s="16"/>
      <c r="F340" s="9">
        <f t="shared" si="45"/>
        <v>0</v>
      </c>
      <c r="G340" s="8"/>
      <c r="H340" s="8"/>
      <c r="I340" s="8"/>
      <c r="J340" s="8"/>
      <c r="K340" s="8"/>
      <c r="L340" s="8"/>
      <c r="M340" s="8"/>
      <c r="N340" s="8"/>
      <c r="O340" s="8"/>
      <c r="P340" s="8"/>
    </row>
    <row r="341" spans="1:16" s="13" customFormat="1" ht="72.75" x14ac:dyDescent="0.2">
      <c r="A341" s="35" t="s">
        <v>147</v>
      </c>
      <c r="B341" s="49" t="s">
        <v>549</v>
      </c>
      <c r="C341" s="40" t="s">
        <v>114</v>
      </c>
      <c r="D341" s="16"/>
      <c r="E341" s="16"/>
      <c r="F341" s="9">
        <f t="shared" si="45"/>
        <v>0</v>
      </c>
      <c r="G341" s="8"/>
      <c r="H341" s="8"/>
      <c r="I341" s="8"/>
      <c r="J341" s="8"/>
      <c r="K341" s="8"/>
      <c r="L341" s="8"/>
      <c r="M341" s="8"/>
      <c r="N341" s="8"/>
      <c r="O341" s="8"/>
      <c r="P341" s="8"/>
    </row>
    <row r="342" spans="1:16" s="13" customFormat="1" ht="87.75" x14ac:dyDescent="0.2">
      <c r="A342" s="166" t="s">
        <v>392</v>
      </c>
      <c r="B342" s="49" t="s">
        <v>550</v>
      </c>
      <c r="C342" s="40" t="s">
        <v>114</v>
      </c>
      <c r="D342" s="16"/>
      <c r="E342" s="16"/>
      <c r="F342" s="9">
        <f t="shared" si="45"/>
        <v>0</v>
      </c>
      <c r="G342" s="8"/>
      <c r="H342" s="8"/>
      <c r="I342" s="8"/>
      <c r="J342" s="8"/>
      <c r="K342" s="8"/>
      <c r="L342" s="8"/>
      <c r="M342" s="8"/>
      <c r="N342" s="8"/>
      <c r="O342" s="8"/>
      <c r="P342" s="8"/>
    </row>
    <row r="343" spans="1:16" s="13" customFormat="1" ht="30" x14ac:dyDescent="0.25">
      <c r="A343" s="164">
        <v>8.06</v>
      </c>
      <c r="B343" s="37" t="s">
        <v>551</v>
      </c>
      <c r="C343" s="40"/>
      <c r="D343" s="16"/>
      <c r="E343" s="16"/>
      <c r="F343" s="9">
        <f t="shared" ref="F343:F345" si="47">E343*D343</f>
        <v>0</v>
      </c>
      <c r="G343" s="8"/>
      <c r="H343" s="8"/>
    </row>
    <row r="344" spans="1:16" s="13" customFormat="1" ht="45" x14ac:dyDescent="0.2">
      <c r="A344" s="35" t="s">
        <v>107</v>
      </c>
      <c r="B344" s="49" t="s">
        <v>552</v>
      </c>
      <c r="C344" s="40" t="s">
        <v>111</v>
      </c>
      <c r="D344" s="16"/>
      <c r="E344" s="16"/>
      <c r="F344" s="9">
        <f t="shared" si="47"/>
        <v>0</v>
      </c>
      <c r="G344" s="8"/>
      <c r="H344" s="8"/>
    </row>
    <row r="345" spans="1:16" s="13" customFormat="1" ht="45" x14ac:dyDescent="0.2">
      <c r="A345" s="35" t="s">
        <v>108</v>
      </c>
      <c r="B345" s="49" t="s">
        <v>553</v>
      </c>
      <c r="C345" s="40" t="s">
        <v>111</v>
      </c>
      <c r="D345" s="16"/>
      <c r="E345" s="16"/>
      <c r="F345" s="9">
        <f t="shared" si="47"/>
        <v>0</v>
      </c>
      <c r="G345" s="8"/>
      <c r="H345" s="8"/>
    </row>
    <row r="346" spans="1:16" s="13" customFormat="1" ht="30" x14ac:dyDescent="0.25">
      <c r="A346" s="164">
        <v>8.07</v>
      </c>
      <c r="B346" s="37" t="s">
        <v>554</v>
      </c>
      <c r="C346" s="40"/>
      <c r="D346" s="16"/>
      <c r="E346" s="16"/>
      <c r="F346" s="9">
        <f t="shared" si="45"/>
        <v>0</v>
      </c>
      <c r="G346" s="8"/>
      <c r="H346" s="8"/>
      <c r="I346" s="8"/>
      <c r="J346" s="8"/>
      <c r="K346" s="8"/>
      <c r="L346" s="8"/>
      <c r="M346" s="8"/>
      <c r="N346" s="8"/>
      <c r="O346" s="8"/>
      <c r="P346" s="8"/>
    </row>
    <row r="347" spans="1:16" s="13" customFormat="1" ht="96" customHeight="1" x14ac:dyDescent="0.2">
      <c r="A347" s="35" t="s">
        <v>107</v>
      </c>
      <c r="B347" s="49" t="s">
        <v>555</v>
      </c>
      <c r="C347" s="40" t="s">
        <v>111</v>
      </c>
      <c r="D347" s="16"/>
      <c r="E347" s="16"/>
      <c r="F347" s="9">
        <f t="shared" si="45"/>
        <v>0</v>
      </c>
      <c r="G347" s="8"/>
      <c r="H347" s="8"/>
    </row>
    <row r="348" spans="1:16" s="13" customFormat="1" ht="78.75" customHeight="1" x14ac:dyDescent="0.2">
      <c r="A348" s="35" t="s">
        <v>108</v>
      </c>
      <c r="B348" s="49" t="s">
        <v>556</v>
      </c>
      <c r="C348" s="40" t="s">
        <v>111</v>
      </c>
      <c r="D348" s="16"/>
      <c r="E348" s="16"/>
      <c r="F348" s="9">
        <f t="shared" si="45"/>
        <v>0</v>
      </c>
      <c r="G348" s="8"/>
      <c r="H348" s="8"/>
    </row>
    <row r="349" spans="1:16" s="13" customFormat="1" ht="87.75" x14ac:dyDescent="0.2">
      <c r="A349" s="35" t="s">
        <v>109</v>
      </c>
      <c r="B349" s="49" t="s">
        <v>557</v>
      </c>
      <c r="C349" s="40" t="s">
        <v>111</v>
      </c>
      <c r="D349" s="16"/>
      <c r="E349" s="16"/>
      <c r="F349" s="9">
        <f t="shared" si="45"/>
        <v>0</v>
      </c>
      <c r="G349" s="8"/>
      <c r="H349" s="8"/>
    </row>
    <row r="350" spans="1:16" s="13" customFormat="1" ht="87.75" x14ac:dyDescent="0.2">
      <c r="A350" s="35" t="s">
        <v>110</v>
      </c>
      <c r="B350" s="49" t="s">
        <v>558</v>
      </c>
      <c r="C350" s="40" t="s">
        <v>111</v>
      </c>
      <c r="D350" s="16"/>
      <c r="E350" s="16"/>
      <c r="F350" s="9">
        <f t="shared" si="45"/>
        <v>0</v>
      </c>
      <c r="G350" s="8"/>
      <c r="H350" s="8"/>
    </row>
    <row r="351" spans="1:16" s="13" customFormat="1" ht="87.75" x14ac:dyDescent="0.2">
      <c r="A351" s="35" t="s">
        <v>124</v>
      </c>
      <c r="B351" s="49" t="s">
        <v>559</v>
      </c>
      <c r="C351" s="40" t="s">
        <v>111</v>
      </c>
      <c r="D351" s="16"/>
      <c r="E351" s="16"/>
      <c r="F351" s="9">
        <f t="shared" si="45"/>
        <v>0</v>
      </c>
      <c r="G351" s="8"/>
      <c r="H351" s="8"/>
    </row>
    <row r="352" spans="1:16" s="13" customFormat="1" ht="88.5" x14ac:dyDescent="0.2">
      <c r="A352" s="35" t="s">
        <v>125</v>
      </c>
      <c r="B352" s="49" t="s">
        <v>560</v>
      </c>
      <c r="C352" s="40" t="s">
        <v>111</v>
      </c>
      <c r="D352" s="16"/>
      <c r="E352" s="16"/>
      <c r="F352" s="9">
        <f t="shared" si="45"/>
        <v>0</v>
      </c>
      <c r="G352" s="8"/>
      <c r="H352" s="8"/>
    </row>
    <row r="353" spans="1:16" s="13" customFormat="1" ht="30" x14ac:dyDescent="0.25">
      <c r="A353" s="164">
        <v>8.08</v>
      </c>
      <c r="B353" s="37" t="s">
        <v>561</v>
      </c>
      <c r="C353" s="40"/>
      <c r="D353" s="16"/>
      <c r="E353" s="16"/>
      <c r="F353" s="9">
        <f t="shared" si="45"/>
        <v>0</v>
      </c>
      <c r="G353" s="8"/>
      <c r="H353" s="8"/>
      <c r="I353" s="8"/>
      <c r="J353" s="8"/>
      <c r="K353" s="8"/>
      <c r="L353" s="8"/>
      <c r="M353" s="8"/>
      <c r="N353" s="8"/>
      <c r="O353" s="8"/>
      <c r="P353" s="8"/>
    </row>
    <row r="354" spans="1:16" s="13" customFormat="1" ht="87" x14ac:dyDescent="0.2">
      <c r="A354" s="35" t="s">
        <v>107</v>
      </c>
      <c r="B354" s="49" t="s">
        <v>562</v>
      </c>
      <c r="C354" s="40" t="s">
        <v>111</v>
      </c>
      <c r="D354" s="16"/>
      <c r="E354" s="16"/>
      <c r="F354" s="9">
        <f t="shared" si="45"/>
        <v>0</v>
      </c>
      <c r="G354" s="8"/>
      <c r="H354" s="8"/>
      <c r="I354" s="8"/>
      <c r="J354" s="8"/>
      <c r="K354" s="8"/>
      <c r="L354" s="8"/>
      <c r="M354" s="8"/>
      <c r="N354" s="8"/>
      <c r="O354" s="8"/>
      <c r="P354" s="8"/>
    </row>
    <row r="355" spans="1:16" s="13" customFormat="1" ht="32.25" customHeight="1" outlineLevel="1" x14ac:dyDescent="0.2">
      <c r="A355" s="171">
        <v>8.09</v>
      </c>
      <c r="B355" s="37" t="s">
        <v>563</v>
      </c>
      <c r="C355" s="30"/>
      <c r="D355" s="5"/>
      <c r="E355" s="5"/>
      <c r="F355" s="6">
        <f t="shared" ref="F355:F360" si="48">IFERROR(E355*D355,0)</f>
        <v>0</v>
      </c>
      <c r="G355" s="8"/>
      <c r="H355" s="8"/>
      <c r="I355" s="8"/>
      <c r="J355" s="8"/>
      <c r="K355" s="8"/>
      <c r="L355" s="8"/>
      <c r="M355" s="8"/>
      <c r="N355" s="8"/>
      <c r="O355" s="8"/>
      <c r="P355" s="8"/>
    </row>
    <row r="356" spans="1:16" s="13" customFormat="1" ht="101.25" x14ac:dyDescent="0.2">
      <c r="A356" s="166" t="s">
        <v>393</v>
      </c>
      <c r="B356" s="49" t="s">
        <v>593</v>
      </c>
      <c r="C356" s="40" t="s">
        <v>114</v>
      </c>
      <c r="D356" s="16"/>
      <c r="E356" s="16"/>
      <c r="F356" s="9">
        <f t="shared" ref="F356" si="49">IFERROR(E356*D356,0)</f>
        <v>0</v>
      </c>
      <c r="G356" s="8"/>
      <c r="H356" s="8"/>
      <c r="I356" s="8"/>
      <c r="J356" s="8"/>
      <c r="K356" s="8"/>
      <c r="L356" s="8"/>
      <c r="M356" s="8"/>
      <c r="N356" s="8"/>
      <c r="O356" s="8"/>
      <c r="P356" s="8"/>
    </row>
    <row r="357" spans="1:16" s="13" customFormat="1" ht="72.75" x14ac:dyDescent="0.2">
      <c r="A357" s="166" t="s">
        <v>648</v>
      </c>
      <c r="B357" s="49" t="s">
        <v>649</v>
      </c>
      <c r="C357" s="40" t="s">
        <v>114</v>
      </c>
      <c r="D357" s="16"/>
      <c r="E357" s="16"/>
      <c r="F357" s="9">
        <f t="shared" ref="F357" si="50">IFERROR(E357*D357,0)</f>
        <v>0</v>
      </c>
      <c r="G357" s="8"/>
      <c r="H357" s="8"/>
      <c r="I357" s="8"/>
      <c r="J357" s="8"/>
      <c r="K357" s="8"/>
      <c r="L357" s="8"/>
      <c r="M357" s="8"/>
      <c r="N357" s="8"/>
      <c r="O357" s="8"/>
      <c r="P357" s="8"/>
    </row>
    <row r="358" spans="1:16" s="13" customFormat="1" ht="82.5" customHeight="1" x14ac:dyDescent="0.2">
      <c r="A358" s="166" t="s">
        <v>653</v>
      </c>
      <c r="B358" s="49" t="s">
        <v>652</v>
      </c>
      <c r="C358" s="40" t="s">
        <v>114</v>
      </c>
      <c r="D358" s="16"/>
      <c r="E358" s="16"/>
      <c r="F358" s="9">
        <f t="shared" si="48"/>
        <v>0</v>
      </c>
      <c r="G358" s="8"/>
      <c r="H358" s="8"/>
      <c r="I358" s="8"/>
      <c r="J358" s="8"/>
      <c r="K358" s="8"/>
      <c r="L358" s="8"/>
      <c r="M358" s="8"/>
      <c r="N358" s="8"/>
      <c r="O358" s="8"/>
      <c r="P358" s="8"/>
    </row>
    <row r="359" spans="1:16" s="13" customFormat="1" ht="127.5" outlineLevel="1" x14ac:dyDescent="0.2">
      <c r="A359" s="21"/>
      <c r="B359" s="1" t="s">
        <v>431</v>
      </c>
      <c r="C359" s="21"/>
      <c r="D359" s="4"/>
      <c r="E359" s="4"/>
      <c r="F359" s="6">
        <f t="shared" si="48"/>
        <v>0</v>
      </c>
    </row>
    <row r="360" spans="1:16" s="13" customFormat="1" ht="20.100000000000001" customHeight="1" outlineLevel="1" x14ac:dyDescent="0.2">
      <c r="A360" s="21"/>
      <c r="B360" s="1"/>
      <c r="C360" s="21"/>
      <c r="D360" s="4"/>
      <c r="E360" s="4"/>
      <c r="F360" s="6">
        <f t="shared" si="48"/>
        <v>0</v>
      </c>
    </row>
    <row r="361" spans="1:16" ht="24.95" customHeight="1" x14ac:dyDescent="0.2">
      <c r="A361" s="147"/>
      <c r="B361" s="127" t="s">
        <v>90</v>
      </c>
      <c r="C361" s="144"/>
      <c r="D361" s="145"/>
      <c r="E361" s="145"/>
      <c r="F361" s="98">
        <f>SUM(F308:F360)</f>
        <v>0</v>
      </c>
      <c r="G361" s="23"/>
      <c r="H361" s="23"/>
      <c r="I361" s="23"/>
      <c r="J361" s="23"/>
      <c r="K361" s="23"/>
      <c r="L361" s="23"/>
      <c r="M361" s="23"/>
      <c r="N361" s="23"/>
      <c r="O361" s="23"/>
      <c r="P361" s="23"/>
    </row>
    <row r="362" spans="1:16" s="10" customFormat="1" ht="24.95" customHeight="1" outlineLevel="1" x14ac:dyDescent="0.2">
      <c r="A362" s="11"/>
      <c r="B362" s="126" t="s">
        <v>102</v>
      </c>
      <c r="C362" s="144"/>
      <c r="D362" s="145"/>
      <c r="E362" s="145"/>
      <c r="F362" s="145"/>
    </row>
    <row r="363" spans="1:16" s="10" customFormat="1" ht="185.25" outlineLevel="1" x14ac:dyDescent="0.2">
      <c r="A363" s="34">
        <v>9.1</v>
      </c>
      <c r="B363" s="49" t="s">
        <v>433</v>
      </c>
      <c r="C363" s="35"/>
      <c r="D363" s="16"/>
      <c r="E363" s="16"/>
      <c r="F363" s="15">
        <f t="shared" ref="F363:F428" si="51">IFERROR(E363*D363,0)</f>
        <v>0</v>
      </c>
      <c r="G363" s="36"/>
    </row>
    <row r="364" spans="1:16" s="10" customFormat="1" outlineLevel="1" x14ac:dyDescent="0.2">
      <c r="A364" s="34">
        <v>9.11</v>
      </c>
      <c r="B364" s="37" t="s">
        <v>148</v>
      </c>
      <c r="C364" s="38"/>
      <c r="D364" s="9"/>
      <c r="E364" s="16"/>
      <c r="F364" s="15">
        <f t="shared" si="51"/>
        <v>0</v>
      </c>
      <c r="G364" s="36"/>
    </row>
    <row r="365" spans="1:16" s="10" customFormat="1" ht="42.75" outlineLevel="1" x14ac:dyDescent="0.2">
      <c r="A365" s="51" t="s">
        <v>149</v>
      </c>
      <c r="B365" s="39" t="s">
        <v>150</v>
      </c>
      <c r="C365" s="40" t="s">
        <v>385</v>
      </c>
      <c r="D365" s="16"/>
      <c r="E365" s="16"/>
      <c r="F365" s="15">
        <f t="shared" si="51"/>
        <v>0</v>
      </c>
      <c r="G365" s="36"/>
    </row>
    <row r="366" spans="1:16" s="10" customFormat="1" ht="42.75" outlineLevel="1" x14ac:dyDescent="0.2">
      <c r="A366" s="51" t="s">
        <v>151</v>
      </c>
      <c r="B366" s="39" t="s">
        <v>152</v>
      </c>
      <c r="C366" s="40" t="s">
        <v>385</v>
      </c>
      <c r="D366" s="9"/>
      <c r="E366" s="16"/>
      <c r="F366" s="15">
        <f t="shared" si="51"/>
        <v>0</v>
      </c>
      <c r="G366" s="36"/>
    </row>
    <row r="367" spans="1:16" s="10" customFormat="1" ht="42.75" outlineLevel="1" x14ac:dyDescent="0.2">
      <c r="A367" s="51" t="s">
        <v>153</v>
      </c>
      <c r="B367" s="39" t="s">
        <v>154</v>
      </c>
      <c r="C367" s="40" t="s">
        <v>429</v>
      </c>
      <c r="D367" s="9"/>
      <c r="E367" s="16"/>
      <c r="F367" s="15">
        <f t="shared" si="51"/>
        <v>0</v>
      </c>
      <c r="G367" s="36"/>
    </row>
    <row r="368" spans="1:16" s="10" customFormat="1" ht="57" outlineLevel="1" x14ac:dyDescent="0.2">
      <c r="A368" s="51" t="s">
        <v>155</v>
      </c>
      <c r="B368" s="39" t="s">
        <v>157</v>
      </c>
      <c r="C368" s="40" t="s">
        <v>385</v>
      </c>
      <c r="D368" s="9"/>
      <c r="E368" s="16"/>
      <c r="F368" s="15">
        <f t="shared" si="51"/>
        <v>0</v>
      </c>
      <c r="G368" s="36"/>
    </row>
    <row r="369" spans="1:7" s="10" customFormat="1" ht="57" outlineLevel="1" x14ac:dyDescent="0.2">
      <c r="A369" s="51" t="s">
        <v>156</v>
      </c>
      <c r="B369" s="39" t="s">
        <v>159</v>
      </c>
      <c r="C369" s="40" t="s">
        <v>385</v>
      </c>
      <c r="D369" s="16"/>
      <c r="E369" s="16"/>
      <c r="F369" s="15">
        <f t="shared" si="51"/>
        <v>0</v>
      </c>
      <c r="G369" s="36"/>
    </row>
    <row r="370" spans="1:7" s="10" customFormat="1" ht="42.75" outlineLevel="1" x14ac:dyDescent="0.2">
      <c r="A370" s="51" t="s">
        <v>158</v>
      </c>
      <c r="B370" s="39" t="s">
        <v>574</v>
      </c>
      <c r="C370" s="40" t="s">
        <v>385</v>
      </c>
      <c r="D370" s="9"/>
      <c r="E370" s="16"/>
      <c r="F370" s="15">
        <f t="shared" si="51"/>
        <v>0</v>
      </c>
      <c r="G370" s="36"/>
    </row>
    <row r="371" spans="1:7" s="10" customFormat="1" ht="42.75" outlineLevel="1" x14ac:dyDescent="0.2">
      <c r="A371" s="51" t="s">
        <v>160</v>
      </c>
      <c r="B371" s="39" t="s">
        <v>575</v>
      </c>
      <c r="C371" s="40"/>
      <c r="D371" s="9"/>
      <c r="E371" s="16"/>
      <c r="F371" s="15"/>
      <c r="G371" s="36"/>
    </row>
    <row r="372" spans="1:7" s="10" customFormat="1" ht="42.75" outlineLevel="1" x14ac:dyDescent="0.2">
      <c r="A372" s="51" t="s">
        <v>161</v>
      </c>
      <c r="B372" s="39" t="s">
        <v>417</v>
      </c>
      <c r="C372" s="40" t="s">
        <v>385</v>
      </c>
      <c r="D372" s="9"/>
      <c r="E372" s="16"/>
      <c r="F372" s="15">
        <f t="shared" si="51"/>
        <v>0</v>
      </c>
      <c r="G372" s="36"/>
    </row>
    <row r="373" spans="1:7" s="10" customFormat="1" ht="42.75" outlineLevel="1" x14ac:dyDescent="0.2">
      <c r="A373" s="51" t="s">
        <v>163</v>
      </c>
      <c r="B373" s="39" t="s">
        <v>162</v>
      </c>
      <c r="C373" s="40" t="s">
        <v>385</v>
      </c>
      <c r="D373" s="9"/>
      <c r="E373" s="16"/>
      <c r="F373" s="15">
        <f t="shared" si="51"/>
        <v>0</v>
      </c>
      <c r="G373" s="36"/>
    </row>
    <row r="374" spans="1:7" s="42" customFormat="1" ht="71.25" outlineLevel="1" x14ac:dyDescent="0.2">
      <c r="A374" s="51" t="s">
        <v>165</v>
      </c>
      <c r="B374" s="39" t="s">
        <v>164</v>
      </c>
      <c r="C374" s="40" t="s">
        <v>429</v>
      </c>
      <c r="D374" s="9"/>
      <c r="E374" s="16"/>
      <c r="F374" s="15">
        <f t="shared" si="51"/>
        <v>0</v>
      </c>
      <c r="G374" s="41"/>
    </row>
    <row r="375" spans="1:7" s="10" customFormat="1" ht="42.75" outlineLevel="1" x14ac:dyDescent="0.2">
      <c r="A375" s="59" t="s">
        <v>178</v>
      </c>
      <c r="B375" s="49" t="s">
        <v>166</v>
      </c>
      <c r="C375" s="40" t="s">
        <v>429</v>
      </c>
      <c r="D375" s="16"/>
      <c r="E375" s="16"/>
      <c r="F375" s="15">
        <f t="shared" si="51"/>
        <v>0</v>
      </c>
      <c r="G375" s="36"/>
    </row>
    <row r="376" spans="1:7" s="42" customFormat="1" ht="90" outlineLevel="1" x14ac:dyDescent="0.2">
      <c r="A376" s="43">
        <v>9.1199999999999992</v>
      </c>
      <c r="B376" s="44" t="s">
        <v>167</v>
      </c>
      <c r="C376" s="38"/>
      <c r="D376" s="9"/>
      <c r="E376" s="16"/>
      <c r="F376" s="15">
        <f t="shared" si="51"/>
        <v>0</v>
      </c>
      <c r="G376" s="41"/>
    </row>
    <row r="377" spans="1:7" s="10" customFormat="1" ht="42.75" outlineLevel="1" x14ac:dyDescent="0.2">
      <c r="A377" s="51" t="s">
        <v>149</v>
      </c>
      <c r="B377" s="45" t="s">
        <v>168</v>
      </c>
      <c r="C377" s="40" t="s">
        <v>429</v>
      </c>
      <c r="D377" s="16"/>
      <c r="E377" s="16"/>
      <c r="F377" s="15">
        <f t="shared" si="51"/>
        <v>0</v>
      </c>
      <c r="G377" s="36"/>
    </row>
    <row r="378" spans="1:7" s="10" customFormat="1" ht="28.5" outlineLevel="1" x14ac:dyDescent="0.2">
      <c r="A378" s="51" t="s">
        <v>151</v>
      </c>
      <c r="B378" s="45" t="s">
        <v>169</v>
      </c>
      <c r="C378" s="40" t="s">
        <v>429</v>
      </c>
      <c r="D378" s="16"/>
      <c r="E378" s="16"/>
      <c r="F378" s="15">
        <f t="shared" si="51"/>
        <v>0</v>
      </c>
      <c r="G378" s="36"/>
    </row>
    <row r="379" spans="1:7" s="10" customFormat="1" ht="28.5" outlineLevel="1" x14ac:dyDescent="0.2">
      <c r="A379" s="152" t="s">
        <v>153</v>
      </c>
      <c r="B379" s="45" t="s">
        <v>170</v>
      </c>
      <c r="C379" s="40" t="s">
        <v>429</v>
      </c>
      <c r="D379" s="9"/>
      <c r="E379" s="16"/>
      <c r="F379" s="15">
        <f t="shared" si="51"/>
        <v>0</v>
      </c>
      <c r="G379" s="36"/>
    </row>
    <row r="380" spans="1:7" s="10" customFormat="1" ht="42.75" outlineLevel="1" x14ac:dyDescent="0.2">
      <c r="A380" s="152" t="s">
        <v>155</v>
      </c>
      <c r="B380" s="45" t="s">
        <v>171</v>
      </c>
      <c r="C380" s="40" t="s">
        <v>429</v>
      </c>
      <c r="D380" s="9"/>
      <c r="E380" s="16"/>
      <c r="F380" s="15">
        <f t="shared" si="51"/>
        <v>0</v>
      </c>
      <c r="G380" s="36"/>
    </row>
    <row r="381" spans="1:7" s="10" customFormat="1" ht="42.75" outlineLevel="1" x14ac:dyDescent="0.2">
      <c r="A381" s="152" t="s">
        <v>156</v>
      </c>
      <c r="B381" s="45" t="s">
        <v>172</v>
      </c>
      <c r="C381" s="40" t="s">
        <v>429</v>
      </c>
      <c r="D381" s="9"/>
      <c r="E381" s="16"/>
      <c r="F381" s="15">
        <f t="shared" si="51"/>
        <v>0</v>
      </c>
      <c r="G381" s="36"/>
    </row>
    <row r="382" spans="1:7" s="10" customFormat="1" ht="42.75" outlineLevel="1" x14ac:dyDescent="0.2">
      <c r="A382" s="153" t="s">
        <v>158</v>
      </c>
      <c r="B382" s="45" t="s">
        <v>173</v>
      </c>
      <c r="C382" s="40" t="s">
        <v>429</v>
      </c>
      <c r="D382" s="16"/>
      <c r="E382" s="16"/>
      <c r="F382" s="15">
        <f t="shared" si="51"/>
        <v>0</v>
      </c>
      <c r="G382" s="36"/>
    </row>
    <row r="383" spans="1:7" s="10" customFormat="1" ht="42.75" outlineLevel="1" x14ac:dyDescent="0.2">
      <c r="A383" s="51" t="s">
        <v>160</v>
      </c>
      <c r="B383" s="45" t="s">
        <v>174</v>
      </c>
      <c r="C383" s="40" t="s">
        <v>429</v>
      </c>
      <c r="D383" s="16"/>
      <c r="E383" s="16"/>
      <c r="F383" s="15">
        <f t="shared" si="51"/>
        <v>0</v>
      </c>
      <c r="G383" s="36"/>
    </row>
    <row r="384" spans="1:7" s="10" customFormat="1" ht="42.75" outlineLevel="1" x14ac:dyDescent="0.2">
      <c r="A384" s="51" t="s">
        <v>161</v>
      </c>
      <c r="B384" s="45" t="s">
        <v>175</v>
      </c>
      <c r="C384" s="40" t="s">
        <v>429</v>
      </c>
      <c r="D384" s="16"/>
      <c r="E384" s="16"/>
      <c r="F384" s="15">
        <f t="shared" si="51"/>
        <v>0</v>
      </c>
      <c r="G384" s="36"/>
    </row>
    <row r="385" spans="1:7" s="10" customFormat="1" ht="42.75" outlineLevel="1" x14ac:dyDescent="0.2">
      <c r="A385" s="152" t="s">
        <v>163</v>
      </c>
      <c r="B385" s="45" t="s">
        <v>176</v>
      </c>
      <c r="C385" s="40" t="s">
        <v>385</v>
      </c>
      <c r="D385" s="9"/>
      <c r="E385" s="16"/>
      <c r="F385" s="15">
        <f t="shared" si="51"/>
        <v>0</v>
      </c>
      <c r="G385" s="36"/>
    </row>
    <row r="386" spans="1:7" s="10" customFormat="1" ht="28.5" outlineLevel="1" x14ac:dyDescent="0.2">
      <c r="A386" s="152" t="s">
        <v>165</v>
      </c>
      <c r="B386" s="45" t="s">
        <v>177</v>
      </c>
      <c r="C386" s="40" t="s">
        <v>385</v>
      </c>
      <c r="D386" s="9"/>
      <c r="E386" s="16"/>
      <c r="F386" s="15">
        <f t="shared" si="51"/>
        <v>0</v>
      </c>
      <c r="G386" s="36"/>
    </row>
    <row r="387" spans="1:7" s="10" customFormat="1" ht="28.5" outlineLevel="1" x14ac:dyDescent="0.2">
      <c r="A387" s="152" t="s">
        <v>178</v>
      </c>
      <c r="B387" s="45" t="s">
        <v>179</v>
      </c>
      <c r="C387" s="40" t="s">
        <v>385</v>
      </c>
      <c r="D387" s="9"/>
      <c r="E387" s="16"/>
      <c r="F387" s="15">
        <f t="shared" si="51"/>
        <v>0</v>
      </c>
      <c r="G387" s="36"/>
    </row>
    <row r="388" spans="1:7" s="10" customFormat="1" ht="42.75" outlineLevel="1" x14ac:dyDescent="0.2">
      <c r="A388" s="51" t="s">
        <v>180</v>
      </c>
      <c r="B388" s="45" t="s">
        <v>181</v>
      </c>
      <c r="C388" s="40" t="s">
        <v>429</v>
      </c>
      <c r="D388" s="16"/>
      <c r="E388" s="16"/>
      <c r="F388" s="15">
        <f t="shared" si="51"/>
        <v>0</v>
      </c>
      <c r="G388" s="36"/>
    </row>
    <row r="389" spans="1:7" s="10" customFormat="1" ht="42.75" outlineLevel="1" x14ac:dyDescent="0.2">
      <c r="A389" s="51" t="s">
        <v>112</v>
      </c>
      <c r="B389" s="45" t="s">
        <v>182</v>
      </c>
      <c r="C389" s="40" t="s">
        <v>429</v>
      </c>
      <c r="D389" s="16"/>
      <c r="E389" s="16"/>
      <c r="F389" s="15">
        <f t="shared" si="51"/>
        <v>0</v>
      </c>
      <c r="G389" s="36"/>
    </row>
    <row r="390" spans="1:7" s="10" customFormat="1" ht="42.75" outlineLevel="1" x14ac:dyDescent="0.2">
      <c r="A390" s="152" t="s">
        <v>183</v>
      </c>
      <c r="B390" s="45" t="s">
        <v>184</v>
      </c>
      <c r="C390" s="40" t="s">
        <v>429</v>
      </c>
      <c r="D390" s="16"/>
      <c r="E390" s="16"/>
      <c r="F390" s="15">
        <f t="shared" si="51"/>
        <v>0</v>
      </c>
      <c r="G390" s="36"/>
    </row>
    <row r="391" spans="1:7" ht="57" outlineLevel="1" x14ac:dyDescent="0.2">
      <c r="A391" s="152" t="s">
        <v>185</v>
      </c>
      <c r="B391" s="45" t="s">
        <v>186</v>
      </c>
      <c r="C391" s="40" t="s">
        <v>385</v>
      </c>
      <c r="D391" s="9"/>
      <c r="E391" s="16"/>
      <c r="F391" s="15">
        <f t="shared" si="51"/>
        <v>0</v>
      </c>
      <c r="G391" s="46"/>
    </row>
    <row r="392" spans="1:7" ht="57" outlineLevel="1" x14ac:dyDescent="0.2">
      <c r="A392" s="152" t="s">
        <v>187</v>
      </c>
      <c r="B392" s="45" t="s">
        <v>188</v>
      </c>
      <c r="C392" s="40" t="s">
        <v>385</v>
      </c>
      <c r="D392" s="9"/>
      <c r="E392" s="16"/>
      <c r="F392" s="15">
        <f t="shared" si="51"/>
        <v>0</v>
      </c>
      <c r="G392" s="46"/>
    </row>
    <row r="393" spans="1:7" ht="42.75" outlineLevel="1" x14ac:dyDescent="0.2">
      <c r="A393" s="51" t="s">
        <v>189</v>
      </c>
      <c r="B393" s="45" t="s">
        <v>190</v>
      </c>
      <c r="C393" s="40" t="s">
        <v>385</v>
      </c>
      <c r="D393" s="9"/>
      <c r="E393" s="16"/>
      <c r="F393" s="15">
        <f t="shared" si="51"/>
        <v>0</v>
      </c>
      <c r="G393" s="46"/>
    </row>
    <row r="394" spans="1:7" ht="28.5" outlineLevel="1" x14ac:dyDescent="0.2">
      <c r="A394" s="152" t="s">
        <v>191</v>
      </c>
      <c r="B394" s="47" t="s">
        <v>192</v>
      </c>
      <c r="C394" s="40" t="s">
        <v>429</v>
      </c>
      <c r="D394" s="16"/>
      <c r="E394" s="16"/>
      <c r="F394" s="15">
        <f t="shared" si="51"/>
        <v>0</v>
      </c>
      <c r="G394" s="46"/>
    </row>
    <row r="395" spans="1:7" ht="57" outlineLevel="1" x14ac:dyDescent="0.2">
      <c r="A395" s="152" t="s">
        <v>193</v>
      </c>
      <c r="B395" s="45" t="s">
        <v>194</v>
      </c>
      <c r="C395" s="40" t="s">
        <v>385</v>
      </c>
      <c r="D395" s="9"/>
      <c r="E395" s="16"/>
      <c r="F395" s="15">
        <f t="shared" si="51"/>
        <v>0</v>
      </c>
      <c r="G395" s="46"/>
    </row>
    <row r="396" spans="1:7" s="10" customFormat="1" ht="20.100000000000001" customHeight="1" outlineLevel="1" x14ac:dyDescent="0.2">
      <c r="A396" s="152" t="s">
        <v>195</v>
      </c>
      <c r="B396" s="47" t="s">
        <v>2</v>
      </c>
      <c r="C396" s="40" t="s">
        <v>429</v>
      </c>
      <c r="D396" s="9"/>
      <c r="E396" s="16"/>
      <c r="F396" s="15">
        <f t="shared" si="51"/>
        <v>0</v>
      </c>
      <c r="G396" s="36"/>
    </row>
    <row r="397" spans="1:7" s="10" customFormat="1" outlineLevel="1" x14ac:dyDescent="0.2">
      <c r="A397" s="152" t="s">
        <v>196</v>
      </c>
      <c r="B397" s="47" t="s">
        <v>3</v>
      </c>
      <c r="C397" s="40" t="s">
        <v>429</v>
      </c>
      <c r="D397" s="9"/>
      <c r="E397" s="16"/>
      <c r="F397" s="15">
        <f t="shared" si="51"/>
        <v>0</v>
      </c>
      <c r="G397" s="36"/>
    </row>
    <row r="398" spans="1:7" s="10" customFormat="1" ht="180" outlineLevel="1" x14ac:dyDescent="0.2">
      <c r="A398" s="43">
        <v>9.1300000000000008</v>
      </c>
      <c r="B398" s="44" t="s">
        <v>434</v>
      </c>
      <c r="C398" s="40" t="s">
        <v>429</v>
      </c>
      <c r="D398" s="9"/>
      <c r="E398" s="16"/>
      <c r="F398" s="15">
        <f t="shared" si="51"/>
        <v>0</v>
      </c>
      <c r="G398" s="36"/>
    </row>
    <row r="399" spans="1:7" s="10" customFormat="1" ht="20.25" customHeight="1" outlineLevel="1" x14ac:dyDescent="0.2">
      <c r="A399" s="34">
        <v>9.1999999999999993</v>
      </c>
      <c r="B399" s="48" t="s">
        <v>197</v>
      </c>
      <c r="C399" s="35"/>
      <c r="D399" s="16"/>
      <c r="E399" s="16"/>
      <c r="F399" s="15">
        <f t="shared" si="51"/>
        <v>0</v>
      </c>
      <c r="G399" s="36"/>
    </row>
    <row r="400" spans="1:7" s="10" customFormat="1" ht="90" outlineLevel="1" x14ac:dyDescent="0.2">
      <c r="A400" s="43">
        <v>9.2100000000000009</v>
      </c>
      <c r="B400" s="44" t="s">
        <v>198</v>
      </c>
      <c r="C400" s="38"/>
      <c r="D400" s="9"/>
      <c r="E400" s="16"/>
      <c r="F400" s="15">
        <f t="shared" si="51"/>
        <v>0</v>
      </c>
      <c r="G400" s="36"/>
    </row>
    <row r="401" spans="1:7" s="10" customFormat="1" outlineLevel="1" x14ac:dyDescent="0.2">
      <c r="A401" s="154" t="s">
        <v>149</v>
      </c>
      <c r="B401" s="47" t="s">
        <v>4</v>
      </c>
      <c r="C401" s="40" t="s">
        <v>111</v>
      </c>
      <c r="D401" s="9"/>
      <c r="E401" s="16"/>
      <c r="F401" s="15">
        <f t="shared" si="51"/>
        <v>0</v>
      </c>
      <c r="G401" s="36"/>
    </row>
    <row r="402" spans="1:7" s="10" customFormat="1" outlineLevel="1" x14ac:dyDescent="0.2">
      <c r="A402" s="43" t="s">
        <v>151</v>
      </c>
      <c r="B402" s="47" t="s">
        <v>5</v>
      </c>
      <c r="C402" s="40" t="s">
        <v>111</v>
      </c>
      <c r="D402" s="9"/>
      <c r="E402" s="16"/>
      <c r="F402" s="15">
        <f t="shared" si="51"/>
        <v>0</v>
      </c>
      <c r="G402" s="36"/>
    </row>
    <row r="403" spans="1:7" s="10" customFormat="1" outlineLevel="1" x14ac:dyDescent="0.2">
      <c r="A403" s="43" t="s">
        <v>153</v>
      </c>
      <c r="B403" s="47" t="s">
        <v>6</v>
      </c>
      <c r="C403" s="40" t="s">
        <v>111</v>
      </c>
      <c r="D403" s="9"/>
      <c r="E403" s="16"/>
      <c r="F403" s="15">
        <f t="shared" si="51"/>
        <v>0</v>
      </c>
      <c r="G403" s="36"/>
    </row>
    <row r="404" spans="1:7" s="10" customFormat="1" outlineLevel="1" x14ac:dyDescent="0.2">
      <c r="A404" s="154" t="s">
        <v>155</v>
      </c>
      <c r="B404" s="47" t="s">
        <v>7</v>
      </c>
      <c r="C404" s="40" t="s">
        <v>111</v>
      </c>
      <c r="D404" s="16"/>
      <c r="E404" s="16"/>
      <c r="F404" s="15">
        <f t="shared" si="51"/>
        <v>0</v>
      </c>
      <c r="G404" s="36"/>
    </row>
    <row r="405" spans="1:7" s="10" customFormat="1" outlineLevel="1" x14ac:dyDescent="0.2">
      <c r="A405" s="154" t="s">
        <v>156</v>
      </c>
      <c r="B405" s="47" t="s">
        <v>8</v>
      </c>
      <c r="C405" s="40" t="s">
        <v>111</v>
      </c>
      <c r="D405" s="16"/>
      <c r="E405" s="16"/>
      <c r="F405" s="15">
        <f t="shared" si="51"/>
        <v>0</v>
      </c>
      <c r="G405" s="36"/>
    </row>
    <row r="406" spans="1:7" s="10" customFormat="1" outlineLevel="1" x14ac:dyDescent="0.2">
      <c r="A406" s="154" t="s">
        <v>158</v>
      </c>
      <c r="B406" s="47" t="s">
        <v>9</v>
      </c>
      <c r="C406" s="40" t="s">
        <v>111</v>
      </c>
      <c r="D406" s="16"/>
      <c r="E406" s="16"/>
      <c r="F406" s="15">
        <f t="shared" si="51"/>
        <v>0</v>
      </c>
      <c r="G406" s="36"/>
    </row>
    <row r="407" spans="1:7" s="10" customFormat="1" ht="28.5" outlineLevel="1" x14ac:dyDescent="0.2">
      <c r="A407" s="154" t="s">
        <v>160</v>
      </c>
      <c r="B407" s="47" t="s">
        <v>199</v>
      </c>
      <c r="C407" s="40" t="s">
        <v>429</v>
      </c>
      <c r="D407" s="16"/>
      <c r="E407" s="16"/>
      <c r="F407" s="15">
        <f t="shared" si="51"/>
        <v>0</v>
      </c>
      <c r="G407" s="36"/>
    </row>
    <row r="408" spans="1:7" s="10" customFormat="1" ht="60" outlineLevel="1" x14ac:dyDescent="0.2">
      <c r="A408" s="43">
        <v>9.2200000000000006</v>
      </c>
      <c r="B408" s="44" t="s">
        <v>200</v>
      </c>
      <c r="C408" s="38"/>
      <c r="D408" s="9"/>
      <c r="E408" s="16"/>
      <c r="F408" s="15">
        <f t="shared" si="51"/>
        <v>0</v>
      </c>
      <c r="G408" s="36"/>
    </row>
    <row r="409" spans="1:7" s="10" customFormat="1" outlineLevel="1" x14ac:dyDescent="0.2">
      <c r="A409" s="43" t="s">
        <v>149</v>
      </c>
      <c r="B409" s="47" t="s">
        <v>10</v>
      </c>
      <c r="C409" s="40" t="s">
        <v>111</v>
      </c>
      <c r="D409" s="9"/>
      <c r="E409" s="16"/>
      <c r="F409" s="15">
        <f t="shared" si="51"/>
        <v>0</v>
      </c>
      <c r="G409" s="36"/>
    </row>
    <row r="410" spans="1:7" s="10" customFormat="1" outlineLevel="1" x14ac:dyDescent="0.2">
      <c r="A410" s="43" t="s">
        <v>151</v>
      </c>
      <c r="B410" s="47" t="s">
        <v>11</v>
      </c>
      <c r="C410" s="40" t="s">
        <v>111</v>
      </c>
      <c r="D410" s="9"/>
      <c r="E410" s="16"/>
      <c r="F410" s="15">
        <f t="shared" si="51"/>
        <v>0</v>
      </c>
      <c r="G410" s="36"/>
    </row>
    <row r="411" spans="1:7" ht="20.100000000000001" customHeight="1" outlineLevel="1" x14ac:dyDescent="0.2">
      <c r="A411" s="154" t="s">
        <v>153</v>
      </c>
      <c r="B411" s="47" t="s">
        <v>12</v>
      </c>
      <c r="C411" s="40" t="s">
        <v>385</v>
      </c>
      <c r="D411" s="9"/>
      <c r="E411" s="16"/>
      <c r="F411" s="15">
        <f t="shared" si="51"/>
        <v>0</v>
      </c>
      <c r="G411" s="46"/>
    </row>
    <row r="412" spans="1:7" outlineLevel="1" x14ac:dyDescent="0.2">
      <c r="A412" s="154" t="s">
        <v>155</v>
      </c>
      <c r="B412" s="47" t="s">
        <v>13</v>
      </c>
      <c r="C412" s="40" t="s">
        <v>385</v>
      </c>
      <c r="D412" s="9"/>
      <c r="E412" s="16"/>
      <c r="F412" s="15">
        <f t="shared" si="51"/>
        <v>0</v>
      </c>
      <c r="G412" s="46"/>
    </row>
    <row r="413" spans="1:7" ht="47.25" customHeight="1" outlineLevel="1" x14ac:dyDescent="0.25">
      <c r="A413" s="43">
        <v>9.23</v>
      </c>
      <c r="B413" s="113" t="s">
        <v>201</v>
      </c>
      <c r="C413" s="35"/>
      <c r="D413" s="9"/>
      <c r="E413" s="16"/>
      <c r="F413" s="15">
        <f t="shared" si="51"/>
        <v>0</v>
      </c>
      <c r="G413" s="46"/>
    </row>
    <row r="414" spans="1:7" ht="20.100000000000001" customHeight="1" outlineLevel="1" x14ac:dyDescent="0.2">
      <c r="A414" s="51" t="s">
        <v>149</v>
      </c>
      <c r="B414" s="47" t="s">
        <v>14</v>
      </c>
      <c r="C414" s="35" t="s">
        <v>385</v>
      </c>
      <c r="D414" s="9"/>
      <c r="E414" s="16"/>
      <c r="F414" s="15">
        <f t="shared" si="51"/>
        <v>0</v>
      </c>
      <c r="G414" s="46"/>
    </row>
    <row r="415" spans="1:7" ht="20.100000000000001" customHeight="1" outlineLevel="1" x14ac:dyDescent="0.2">
      <c r="A415" s="51" t="s">
        <v>151</v>
      </c>
      <c r="B415" s="47" t="s">
        <v>202</v>
      </c>
      <c r="C415" s="35" t="s">
        <v>385</v>
      </c>
      <c r="D415" s="9"/>
      <c r="E415" s="16"/>
      <c r="F415" s="15">
        <f t="shared" si="51"/>
        <v>0</v>
      </c>
      <c r="G415" s="46"/>
    </row>
    <row r="416" spans="1:7" ht="20.100000000000001" customHeight="1" outlineLevel="1" x14ac:dyDescent="0.2">
      <c r="A416" s="51" t="s">
        <v>153</v>
      </c>
      <c r="B416" s="47" t="s">
        <v>203</v>
      </c>
      <c r="C416" s="35" t="s">
        <v>385</v>
      </c>
      <c r="D416" s="9"/>
      <c r="E416" s="16"/>
      <c r="F416" s="15">
        <f t="shared" si="51"/>
        <v>0</v>
      </c>
      <c r="G416" s="46"/>
    </row>
    <row r="417" spans="1:7" ht="20.100000000000001" customHeight="1" outlineLevel="1" x14ac:dyDescent="0.2">
      <c r="A417" s="51" t="s">
        <v>155</v>
      </c>
      <c r="B417" s="47" t="s">
        <v>204</v>
      </c>
      <c r="C417" s="35" t="s">
        <v>385</v>
      </c>
      <c r="D417" s="9"/>
      <c r="E417" s="16"/>
      <c r="F417" s="15">
        <f t="shared" si="51"/>
        <v>0</v>
      </c>
      <c r="G417" s="46"/>
    </row>
    <row r="418" spans="1:7" ht="20.100000000000001" customHeight="1" outlineLevel="1" x14ac:dyDescent="0.2">
      <c r="A418" s="51" t="s">
        <v>156</v>
      </c>
      <c r="B418" s="47" t="s">
        <v>205</v>
      </c>
      <c r="C418" s="35" t="s">
        <v>385</v>
      </c>
      <c r="D418" s="9"/>
      <c r="E418" s="16"/>
      <c r="F418" s="15">
        <f t="shared" si="51"/>
        <v>0</v>
      </c>
      <c r="G418" s="46"/>
    </row>
    <row r="419" spans="1:7" ht="85.5" outlineLevel="1" x14ac:dyDescent="0.2">
      <c r="A419" s="51" t="s">
        <v>158</v>
      </c>
      <c r="B419" s="49" t="s">
        <v>206</v>
      </c>
      <c r="C419" s="35" t="s">
        <v>429</v>
      </c>
      <c r="D419" s="9"/>
      <c r="E419" s="16"/>
      <c r="F419" s="15">
        <f t="shared" si="51"/>
        <v>0</v>
      </c>
      <c r="G419" s="46"/>
    </row>
    <row r="420" spans="1:7" ht="45" outlineLevel="1" x14ac:dyDescent="0.25">
      <c r="A420" s="43">
        <v>9.24</v>
      </c>
      <c r="B420" s="114" t="s">
        <v>207</v>
      </c>
      <c r="C420" s="35"/>
      <c r="D420" s="9"/>
      <c r="E420" s="16"/>
      <c r="F420" s="15">
        <f t="shared" si="51"/>
        <v>0</v>
      </c>
      <c r="G420" s="46"/>
    </row>
    <row r="421" spans="1:7" ht="20.100000000000001" customHeight="1" outlineLevel="1" x14ac:dyDescent="0.2">
      <c r="A421" s="51" t="s">
        <v>149</v>
      </c>
      <c r="B421" s="47" t="s">
        <v>4</v>
      </c>
      <c r="C421" s="35" t="s">
        <v>385</v>
      </c>
      <c r="D421" s="9"/>
      <c r="E421" s="16"/>
      <c r="F421" s="15">
        <f t="shared" si="51"/>
        <v>0</v>
      </c>
      <c r="G421" s="46"/>
    </row>
    <row r="422" spans="1:7" ht="20.100000000000001" customHeight="1" outlineLevel="1" x14ac:dyDescent="0.2">
      <c r="A422" s="51" t="s">
        <v>151</v>
      </c>
      <c r="B422" s="47" t="s">
        <v>5</v>
      </c>
      <c r="C422" s="35" t="s">
        <v>385</v>
      </c>
      <c r="D422" s="9"/>
      <c r="E422" s="16"/>
      <c r="F422" s="15">
        <f t="shared" si="51"/>
        <v>0</v>
      </c>
      <c r="G422" s="46"/>
    </row>
    <row r="423" spans="1:7" ht="20.100000000000001" customHeight="1" outlineLevel="1" x14ac:dyDescent="0.2">
      <c r="A423" s="51" t="s">
        <v>153</v>
      </c>
      <c r="B423" s="47" t="s">
        <v>6</v>
      </c>
      <c r="C423" s="35" t="s">
        <v>385</v>
      </c>
      <c r="D423" s="9"/>
      <c r="E423" s="16"/>
      <c r="F423" s="15">
        <f t="shared" si="51"/>
        <v>0</v>
      </c>
      <c r="G423" s="46"/>
    </row>
    <row r="424" spans="1:7" ht="20.100000000000001" customHeight="1" outlineLevel="1" x14ac:dyDescent="0.2">
      <c r="A424" s="51" t="s">
        <v>155</v>
      </c>
      <c r="B424" s="47" t="s">
        <v>15</v>
      </c>
      <c r="C424" s="35" t="s">
        <v>385</v>
      </c>
      <c r="D424" s="9"/>
      <c r="E424" s="16"/>
      <c r="F424" s="15">
        <f t="shared" si="51"/>
        <v>0</v>
      </c>
      <c r="G424" s="46"/>
    </row>
    <row r="425" spans="1:7" ht="20.100000000000001" customHeight="1" outlineLevel="1" x14ac:dyDescent="0.2">
      <c r="A425" s="51" t="s">
        <v>156</v>
      </c>
      <c r="B425" s="47" t="s">
        <v>16</v>
      </c>
      <c r="C425" s="35" t="s">
        <v>385</v>
      </c>
      <c r="D425" s="9"/>
      <c r="E425" s="16"/>
      <c r="F425" s="15">
        <f t="shared" si="51"/>
        <v>0</v>
      </c>
      <c r="G425" s="46"/>
    </row>
    <row r="426" spans="1:7" ht="20.100000000000001" customHeight="1" outlineLevel="1" x14ac:dyDescent="0.2">
      <c r="A426" s="51" t="s">
        <v>158</v>
      </c>
      <c r="B426" s="47" t="s">
        <v>17</v>
      </c>
      <c r="C426" s="35" t="s">
        <v>385</v>
      </c>
      <c r="D426" s="9"/>
      <c r="E426" s="16"/>
      <c r="F426" s="15">
        <f t="shared" si="51"/>
        <v>0</v>
      </c>
      <c r="G426" s="46"/>
    </row>
    <row r="427" spans="1:7" ht="20.100000000000001" customHeight="1" outlineLevel="1" x14ac:dyDescent="0.2">
      <c r="A427" s="51" t="s">
        <v>160</v>
      </c>
      <c r="B427" s="47" t="s">
        <v>9</v>
      </c>
      <c r="C427" s="35" t="s">
        <v>385</v>
      </c>
      <c r="D427" s="9"/>
      <c r="E427" s="16"/>
      <c r="F427" s="15">
        <f t="shared" si="51"/>
        <v>0</v>
      </c>
      <c r="G427" s="46"/>
    </row>
    <row r="428" spans="1:7" s="10" customFormat="1" ht="24.75" customHeight="1" outlineLevel="1" x14ac:dyDescent="0.2">
      <c r="A428" s="43">
        <v>9.25</v>
      </c>
      <c r="B428" s="115" t="s">
        <v>208</v>
      </c>
      <c r="C428" s="35"/>
      <c r="D428" s="9"/>
      <c r="E428" s="16"/>
      <c r="F428" s="15">
        <f t="shared" si="51"/>
        <v>0</v>
      </c>
      <c r="G428" s="36"/>
    </row>
    <row r="429" spans="1:7" s="10" customFormat="1" ht="20.100000000000001" customHeight="1" outlineLevel="1" x14ac:dyDescent="0.2">
      <c r="A429" s="51" t="s">
        <v>149</v>
      </c>
      <c r="B429" s="47" t="s">
        <v>18</v>
      </c>
      <c r="C429" s="40" t="s">
        <v>385</v>
      </c>
      <c r="D429" s="9"/>
      <c r="E429" s="16"/>
      <c r="F429" s="15">
        <f t="shared" ref="F429:F492" si="52">IFERROR(E429*D429,0)</f>
        <v>0</v>
      </c>
      <c r="G429" s="36"/>
    </row>
    <row r="430" spans="1:7" s="10" customFormat="1" outlineLevel="1" x14ac:dyDescent="0.2">
      <c r="A430" s="51" t="s">
        <v>151</v>
      </c>
      <c r="B430" s="47" t="s">
        <v>19</v>
      </c>
      <c r="C430" s="40" t="s">
        <v>385</v>
      </c>
      <c r="D430" s="9"/>
      <c r="E430" s="16"/>
      <c r="F430" s="15">
        <f t="shared" si="52"/>
        <v>0</v>
      </c>
      <c r="G430" s="36"/>
    </row>
    <row r="431" spans="1:7" s="10" customFormat="1" outlineLevel="1" x14ac:dyDescent="0.2">
      <c r="A431" s="51" t="s">
        <v>153</v>
      </c>
      <c r="B431" s="47" t="s">
        <v>20</v>
      </c>
      <c r="C431" s="40" t="s">
        <v>385</v>
      </c>
      <c r="D431" s="9"/>
      <c r="E431" s="16"/>
      <c r="F431" s="15">
        <f t="shared" si="52"/>
        <v>0</v>
      </c>
      <c r="G431" s="36"/>
    </row>
    <row r="432" spans="1:7" s="10" customFormat="1" outlineLevel="1" x14ac:dyDescent="0.2">
      <c r="A432" s="51" t="s">
        <v>155</v>
      </c>
      <c r="B432" s="47" t="s">
        <v>21</v>
      </c>
      <c r="C432" s="40" t="s">
        <v>385</v>
      </c>
      <c r="D432" s="9"/>
      <c r="E432" s="16"/>
      <c r="F432" s="15">
        <f t="shared" si="52"/>
        <v>0</v>
      </c>
      <c r="G432" s="36"/>
    </row>
    <row r="433" spans="1:7" s="10" customFormat="1" outlineLevel="1" x14ac:dyDescent="0.2">
      <c r="A433" s="51" t="s">
        <v>156</v>
      </c>
      <c r="B433" s="47" t="s">
        <v>22</v>
      </c>
      <c r="C433" s="40" t="s">
        <v>385</v>
      </c>
      <c r="D433" s="9"/>
      <c r="E433" s="16"/>
      <c r="F433" s="15">
        <f t="shared" si="52"/>
        <v>0</v>
      </c>
      <c r="G433" s="36"/>
    </row>
    <row r="434" spans="1:7" s="10" customFormat="1" outlineLevel="1" x14ac:dyDescent="0.2">
      <c r="A434" s="51" t="s">
        <v>158</v>
      </c>
      <c r="B434" s="47" t="s">
        <v>23</v>
      </c>
      <c r="C434" s="40" t="s">
        <v>385</v>
      </c>
      <c r="D434" s="50"/>
      <c r="E434" s="16"/>
      <c r="F434" s="15">
        <f t="shared" si="52"/>
        <v>0</v>
      </c>
      <c r="G434" s="36"/>
    </row>
    <row r="435" spans="1:7" s="10" customFormat="1" ht="60" outlineLevel="1" x14ac:dyDescent="0.2">
      <c r="A435" s="43">
        <v>9.26</v>
      </c>
      <c r="B435" s="115" t="s">
        <v>209</v>
      </c>
      <c r="C435" s="35"/>
      <c r="D435" s="9"/>
      <c r="E435" s="16"/>
      <c r="F435" s="15">
        <f t="shared" si="52"/>
        <v>0</v>
      </c>
      <c r="G435" s="36"/>
    </row>
    <row r="436" spans="1:7" s="10" customFormat="1" outlineLevel="1" x14ac:dyDescent="0.2">
      <c r="A436" s="43" t="s">
        <v>149</v>
      </c>
      <c r="B436" s="39" t="s">
        <v>210</v>
      </c>
      <c r="C436" s="40" t="s">
        <v>385</v>
      </c>
      <c r="D436" s="9"/>
      <c r="E436" s="16"/>
      <c r="F436" s="15">
        <f t="shared" si="52"/>
        <v>0</v>
      </c>
      <c r="G436" s="36"/>
    </row>
    <row r="437" spans="1:7" s="10" customFormat="1" outlineLevel="1" x14ac:dyDescent="0.2">
      <c r="A437" s="43" t="s">
        <v>151</v>
      </c>
      <c r="B437" s="39" t="s">
        <v>24</v>
      </c>
      <c r="C437" s="40" t="s">
        <v>385</v>
      </c>
      <c r="D437" s="9"/>
      <c r="E437" s="16"/>
      <c r="F437" s="15">
        <f t="shared" si="52"/>
        <v>0</v>
      </c>
      <c r="G437" s="36"/>
    </row>
    <row r="438" spans="1:7" s="10" customFormat="1" ht="45" outlineLevel="1" x14ac:dyDescent="0.2">
      <c r="A438" s="43">
        <v>9.27</v>
      </c>
      <c r="B438" s="44" t="s">
        <v>211</v>
      </c>
      <c r="C438" s="40" t="s">
        <v>429</v>
      </c>
      <c r="D438" s="9"/>
      <c r="E438" s="16"/>
      <c r="F438" s="15">
        <f t="shared" si="52"/>
        <v>0</v>
      </c>
      <c r="G438" s="36"/>
    </row>
    <row r="439" spans="1:7" s="10" customFormat="1" ht="75" outlineLevel="1" x14ac:dyDescent="0.2">
      <c r="A439" s="43">
        <v>9.2799999999999994</v>
      </c>
      <c r="B439" s="48" t="s">
        <v>212</v>
      </c>
      <c r="C439" s="35"/>
      <c r="D439" s="50"/>
      <c r="E439" s="16"/>
      <c r="F439" s="15">
        <f t="shared" si="52"/>
        <v>0</v>
      </c>
      <c r="G439" s="36"/>
    </row>
    <row r="440" spans="1:7" s="10" customFormat="1" ht="85.5" outlineLevel="1" x14ac:dyDescent="0.2">
      <c r="A440" s="43" t="s">
        <v>149</v>
      </c>
      <c r="B440" s="39" t="s">
        <v>213</v>
      </c>
      <c r="C440" s="40" t="s">
        <v>214</v>
      </c>
      <c r="D440" s="9"/>
      <c r="E440" s="16"/>
      <c r="F440" s="15">
        <f t="shared" si="52"/>
        <v>0</v>
      </c>
      <c r="G440" s="36"/>
    </row>
    <row r="441" spans="1:7" s="10" customFormat="1" ht="71.25" outlineLevel="1" x14ac:dyDescent="0.2">
      <c r="A441" s="43" t="s">
        <v>151</v>
      </c>
      <c r="B441" s="39" t="s">
        <v>215</v>
      </c>
      <c r="C441" s="40" t="s">
        <v>214</v>
      </c>
      <c r="D441" s="9"/>
      <c r="E441" s="16"/>
      <c r="F441" s="15">
        <f t="shared" si="52"/>
        <v>0</v>
      </c>
      <c r="G441" s="36"/>
    </row>
    <row r="442" spans="1:7" s="10" customFormat="1" ht="71.25" outlineLevel="1" x14ac:dyDescent="0.2">
      <c r="A442" s="154" t="s">
        <v>153</v>
      </c>
      <c r="B442" s="49" t="s">
        <v>216</v>
      </c>
      <c r="C442" s="40" t="s">
        <v>429</v>
      </c>
      <c r="D442" s="50"/>
      <c r="E442" s="16"/>
      <c r="F442" s="15">
        <f t="shared" si="52"/>
        <v>0</v>
      </c>
      <c r="G442" s="36"/>
    </row>
    <row r="443" spans="1:7" s="10" customFormat="1" ht="114" outlineLevel="1" x14ac:dyDescent="0.2">
      <c r="A443" s="43" t="s">
        <v>155</v>
      </c>
      <c r="B443" s="39" t="s">
        <v>217</v>
      </c>
      <c r="C443" s="40" t="s">
        <v>429</v>
      </c>
      <c r="D443" s="9"/>
      <c r="E443" s="16"/>
      <c r="F443" s="15">
        <f t="shared" si="52"/>
        <v>0</v>
      </c>
      <c r="G443" s="36"/>
    </row>
    <row r="444" spans="1:7" s="10" customFormat="1" ht="195" outlineLevel="1" x14ac:dyDescent="0.2">
      <c r="A444" s="43">
        <v>9.2899999999999991</v>
      </c>
      <c r="B444" s="44" t="s">
        <v>435</v>
      </c>
      <c r="C444" s="40" t="s">
        <v>429</v>
      </c>
      <c r="D444" s="9"/>
      <c r="E444" s="16"/>
      <c r="F444" s="15">
        <f t="shared" si="52"/>
        <v>0</v>
      </c>
      <c r="G444" s="36"/>
    </row>
    <row r="445" spans="1:7" s="10" customFormat="1" ht="21.75" customHeight="1" outlineLevel="1" x14ac:dyDescent="0.2">
      <c r="A445" s="34">
        <v>9.3000000000000007</v>
      </c>
      <c r="B445" s="48" t="s">
        <v>218</v>
      </c>
      <c r="C445" s="35"/>
      <c r="D445" s="50"/>
      <c r="E445" s="16"/>
      <c r="F445" s="15">
        <f t="shared" si="52"/>
        <v>0</v>
      </c>
      <c r="G445" s="36"/>
    </row>
    <row r="446" spans="1:7" s="54" customFormat="1" ht="105" outlineLevel="1" x14ac:dyDescent="0.2">
      <c r="A446" s="51">
        <v>9.31</v>
      </c>
      <c r="B446" s="116" t="s">
        <v>219</v>
      </c>
      <c r="C446" s="35"/>
      <c r="D446" s="52"/>
      <c r="E446" s="52"/>
      <c r="F446" s="15">
        <f t="shared" si="52"/>
        <v>0</v>
      </c>
      <c r="G446" s="53"/>
    </row>
    <row r="447" spans="1:7" s="54" customFormat="1" outlineLevel="1" x14ac:dyDescent="0.2">
      <c r="A447" s="51" t="s">
        <v>149</v>
      </c>
      <c r="B447" s="47" t="s">
        <v>220</v>
      </c>
      <c r="C447" s="35" t="s">
        <v>111</v>
      </c>
      <c r="D447" s="52"/>
      <c r="E447" s="52"/>
      <c r="F447" s="15">
        <f t="shared" si="52"/>
        <v>0</v>
      </c>
      <c r="G447" s="53"/>
    </row>
    <row r="448" spans="1:7" outlineLevel="1" x14ac:dyDescent="0.2">
      <c r="A448" s="51" t="s">
        <v>151</v>
      </c>
      <c r="B448" s="47" t="s">
        <v>221</v>
      </c>
      <c r="C448" s="35" t="s">
        <v>111</v>
      </c>
      <c r="D448" s="9"/>
      <c r="E448" s="16"/>
      <c r="F448" s="15">
        <f t="shared" si="52"/>
        <v>0</v>
      </c>
      <c r="G448" s="46"/>
    </row>
    <row r="449" spans="1:7" ht="20.100000000000001" customHeight="1" outlineLevel="1" x14ac:dyDescent="0.2">
      <c r="A449" s="51" t="s">
        <v>153</v>
      </c>
      <c r="B449" s="47" t="s">
        <v>25</v>
      </c>
      <c r="C449" s="35" t="s">
        <v>111</v>
      </c>
      <c r="D449" s="9"/>
      <c r="E449" s="16"/>
      <c r="F449" s="15">
        <f t="shared" si="52"/>
        <v>0</v>
      </c>
      <c r="G449" s="46"/>
    </row>
    <row r="450" spans="1:7" ht="120" outlineLevel="1" x14ac:dyDescent="0.2">
      <c r="A450" s="51">
        <v>9.32</v>
      </c>
      <c r="B450" s="116" t="s">
        <v>222</v>
      </c>
      <c r="C450" s="35"/>
      <c r="D450" s="9"/>
      <c r="E450" s="16"/>
      <c r="F450" s="15">
        <f t="shared" si="52"/>
        <v>0</v>
      </c>
      <c r="G450" s="46"/>
    </row>
    <row r="451" spans="1:7" ht="20.100000000000001" customHeight="1" outlineLevel="1" x14ac:dyDescent="0.2">
      <c r="A451" s="51" t="s">
        <v>149</v>
      </c>
      <c r="B451" s="47" t="s">
        <v>6</v>
      </c>
      <c r="C451" s="35" t="s">
        <v>111</v>
      </c>
      <c r="D451" s="9"/>
      <c r="E451" s="16"/>
      <c r="F451" s="15">
        <f t="shared" si="52"/>
        <v>0</v>
      </c>
      <c r="G451" s="46"/>
    </row>
    <row r="452" spans="1:7" ht="20.100000000000001" customHeight="1" outlineLevel="1" x14ac:dyDescent="0.2">
      <c r="A452" s="51" t="s">
        <v>151</v>
      </c>
      <c r="B452" s="47" t="s">
        <v>7</v>
      </c>
      <c r="C452" s="35" t="s">
        <v>111</v>
      </c>
      <c r="D452" s="9"/>
      <c r="E452" s="16"/>
      <c r="F452" s="15">
        <f t="shared" si="52"/>
        <v>0</v>
      </c>
      <c r="G452" s="46"/>
    </row>
    <row r="453" spans="1:7" ht="20.100000000000001" customHeight="1" outlineLevel="1" x14ac:dyDescent="0.2">
      <c r="A453" s="51" t="s">
        <v>153</v>
      </c>
      <c r="B453" s="47" t="s">
        <v>17</v>
      </c>
      <c r="C453" s="35" t="s">
        <v>111</v>
      </c>
      <c r="D453" s="9"/>
      <c r="E453" s="16"/>
      <c r="F453" s="15">
        <f t="shared" si="52"/>
        <v>0</v>
      </c>
      <c r="G453" s="46"/>
    </row>
    <row r="454" spans="1:7" ht="20.100000000000001" customHeight="1" outlineLevel="1" x14ac:dyDescent="0.2">
      <c r="A454" s="51" t="s">
        <v>155</v>
      </c>
      <c r="B454" s="47" t="s">
        <v>9</v>
      </c>
      <c r="C454" s="35" t="s">
        <v>111</v>
      </c>
      <c r="D454" s="9"/>
      <c r="E454" s="16"/>
      <c r="F454" s="15">
        <f t="shared" si="52"/>
        <v>0</v>
      </c>
      <c r="G454" s="46"/>
    </row>
    <row r="455" spans="1:7" ht="20.100000000000001" customHeight="1" outlineLevel="1" x14ac:dyDescent="0.2">
      <c r="A455" s="51" t="s">
        <v>156</v>
      </c>
      <c r="B455" s="47" t="s">
        <v>26</v>
      </c>
      <c r="C455" s="35" t="s">
        <v>111</v>
      </c>
      <c r="D455" s="9"/>
      <c r="E455" s="16"/>
      <c r="F455" s="15">
        <f t="shared" si="52"/>
        <v>0</v>
      </c>
      <c r="G455" s="46"/>
    </row>
    <row r="456" spans="1:7" ht="60" outlineLevel="1" x14ac:dyDescent="0.2">
      <c r="A456" s="51">
        <v>9.33</v>
      </c>
      <c r="B456" s="116" t="s">
        <v>223</v>
      </c>
      <c r="C456" s="35"/>
      <c r="D456" s="9"/>
      <c r="E456" s="16"/>
      <c r="F456" s="15">
        <f t="shared" si="52"/>
        <v>0</v>
      </c>
      <c r="G456" s="46"/>
    </row>
    <row r="457" spans="1:7" ht="20.100000000000001" customHeight="1" outlineLevel="1" x14ac:dyDescent="0.2">
      <c r="A457" s="51" t="s">
        <v>149</v>
      </c>
      <c r="B457" s="47" t="s">
        <v>27</v>
      </c>
      <c r="C457" s="35" t="s">
        <v>385</v>
      </c>
      <c r="D457" s="9"/>
      <c r="E457" s="16"/>
      <c r="F457" s="15">
        <f t="shared" si="52"/>
        <v>0</v>
      </c>
      <c r="G457" s="46"/>
    </row>
    <row r="458" spans="1:7" ht="20.100000000000001" customHeight="1" outlineLevel="1" x14ac:dyDescent="0.2">
      <c r="A458" s="51" t="s">
        <v>151</v>
      </c>
      <c r="B458" s="47" t="s">
        <v>28</v>
      </c>
      <c r="C458" s="35" t="s">
        <v>385</v>
      </c>
      <c r="D458" s="9"/>
      <c r="E458" s="16"/>
      <c r="F458" s="15">
        <f t="shared" si="52"/>
        <v>0</v>
      </c>
      <c r="G458" s="46"/>
    </row>
    <row r="459" spans="1:7" ht="20.100000000000001" customHeight="1" outlineLevel="1" x14ac:dyDescent="0.2">
      <c r="A459" s="51" t="s">
        <v>153</v>
      </c>
      <c r="B459" s="47" t="s">
        <v>29</v>
      </c>
      <c r="C459" s="35" t="s">
        <v>385</v>
      </c>
      <c r="D459" s="9"/>
      <c r="E459" s="16"/>
      <c r="F459" s="15">
        <f t="shared" si="52"/>
        <v>0</v>
      </c>
      <c r="G459" s="46"/>
    </row>
    <row r="460" spans="1:7" ht="20.100000000000001" customHeight="1" outlineLevel="1" x14ac:dyDescent="0.2">
      <c r="A460" s="51" t="s">
        <v>155</v>
      </c>
      <c r="B460" s="47" t="s">
        <v>224</v>
      </c>
      <c r="C460" s="35" t="s">
        <v>385</v>
      </c>
      <c r="D460" s="9"/>
      <c r="E460" s="16"/>
      <c r="F460" s="15">
        <f t="shared" si="52"/>
        <v>0</v>
      </c>
      <c r="G460" s="46"/>
    </row>
    <row r="461" spans="1:7" ht="20.100000000000001" customHeight="1" outlineLevel="1" x14ac:dyDescent="0.2">
      <c r="A461" s="51" t="s">
        <v>156</v>
      </c>
      <c r="B461" s="47" t="s">
        <v>225</v>
      </c>
      <c r="C461" s="35" t="s">
        <v>385</v>
      </c>
      <c r="D461" s="9"/>
      <c r="E461" s="16"/>
      <c r="F461" s="15">
        <f t="shared" si="52"/>
        <v>0</v>
      </c>
      <c r="G461" s="46"/>
    </row>
    <row r="462" spans="1:7" ht="20.100000000000001" customHeight="1" outlineLevel="1" x14ac:dyDescent="0.2">
      <c r="A462" s="51" t="s">
        <v>158</v>
      </c>
      <c r="B462" s="47" t="s">
        <v>30</v>
      </c>
      <c r="C462" s="35" t="s">
        <v>385</v>
      </c>
      <c r="D462" s="9"/>
      <c r="E462" s="16"/>
      <c r="F462" s="15">
        <f t="shared" si="52"/>
        <v>0</v>
      </c>
      <c r="G462" s="46"/>
    </row>
    <row r="463" spans="1:7" ht="60" outlineLevel="1" x14ac:dyDescent="0.2">
      <c r="A463" s="51">
        <v>9.34</v>
      </c>
      <c r="B463" s="116" t="s">
        <v>226</v>
      </c>
      <c r="C463" s="35"/>
      <c r="D463" s="9"/>
      <c r="E463" s="16"/>
      <c r="F463" s="15">
        <f t="shared" si="52"/>
        <v>0</v>
      </c>
      <c r="G463" s="46"/>
    </row>
    <row r="464" spans="1:7" ht="20.100000000000001" customHeight="1" outlineLevel="1" x14ac:dyDescent="0.2">
      <c r="A464" s="51" t="s">
        <v>149</v>
      </c>
      <c r="B464" s="47" t="s">
        <v>31</v>
      </c>
      <c r="C464" s="35" t="s">
        <v>385</v>
      </c>
      <c r="D464" s="9"/>
      <c r="E464" s="16"/>
      <c r="F464" s="15">
        <f t="shared" si="52"/>
        <v>0</v>
      </c>
      <c r="G464" s="46"/>
    </row>
    <row r="465" spans="1:14" ht="20.100000000000001" customHeight="1" outlineLevel="1" x14ac:dyDescent="0.2">
      <c r="A465" s="51" t="s">
        <v>151</v>
      </c>
      <c r="B465" s="47" t="s">
        <v>32</v>
      </c>
      <c r="C465" s="35" t="s">
        <v>385</v>
      </c>
      <c r="D465" s="9"/>
      <c r="E465" s="16"/>
      <c r="F465" s="15">
        <f t="shared" si="52"/>
        <v>0</v>
      </c>
      <c r="G465" s="46"/>
    </row>
    <row r="466" spans="1:14" s="10" customFormat="1" ht="20.100000000000001" customHeight="1" outlineLevel="1" x14ac:dyDescent="0.2">
      <c r="A466" s="51" t="s">
        <v>153</v>
      </c>
      <c r="B466" s="47" t="s">
        <v>33</v>
      </c>
      <c r="C466" s="35" t="s">
        <v>385</v>
      </c>
      <c r="D466" s="9"/>
      <c r="E466" s="16"/>
      <c r="F466" s="15">
        <f t="shared" si="52"/>
        <v>0</v>
      </c>
      <c r="G466" s="36"/>
    </row>
    <row r="467" spans="1:14" s="10" customFormat="1" outlineLevel="1" x14ac:dyDescent="0.2">
      <c r="A467" s="51" t="s">
        <v>155</v>
      </c>
      <c r="B467" s="47" t="s">
        <v>34</v>
      </c>
      <c r="C467" s="35" t="s">
        <v>385</v>
      </c>
      <c r="D467" s="9"/>
      <c r="E467" s="16"/>
      <c r="F467" s="15">
        <f t="shared" si="52"/>
        <v>0</v>
      </c>
      <c r="G467" s="36"/>
    </row>
    <row r="468" spans="1:14" s="10" customFormat="1" outlineLevel="1" x14ac:dyDescent="0.2">
      <c r="A468" s="51" t="s">
        <v>156</v>
      </c>
      <c r="B468" s="47" t="s">
        <v>35</v>
      </c>
      <c r="C468" s="35" t="s">
        <v>385</v>
      </c>
      <c r="D468" s="9"/>
      <c r="E468" s="16"/>
      <c r="F468" s="15">
        <f t="shared" si="52"/>
        <v>0</v>
      </c>
      <c r="G468" s="36"/>
    </row>
    <row r="469" spans="1:14" s="10" customFormat="1" ht="120" outlineLevel="1" x14ac:dyDescent="0.2">
      <c r="A469" s="51">
        <v>9.35</v>
      </c>
      <c r="B469" s="116" t="s">
        <v>227</v>
      </c>
      <c r="C469" s="35"/>
      <c r="D469" s="9"/>
      <c r="E469" s="16"/>
      <c r="F469" s="15">
        <f t="shared" si="52"/>
        <v>0</v>
      </c>
      <c r="G469" s="36"/>
    </row>
    <row r="470" spans="1:14" s="56" customFormat="1" outlineLevel="1" x14ac:dyDescent="0.2">
      <c r="A470" s="51" t="s">
        <v>149</v>
      </c>
      <c r="B470" s="47" t="s">
        <v>36</v>
      </c>
      <c r="C470" s="35" t="s">
        <v>385</v>
      </c>
      <c r="D470" s="9"/>
      <c r="E470" s="16"/>
      <c r="F470" s="15">
        <f t="shared" si="52"/>
        <v>0</v>
      </c>
      <c r="G470" s="55"/>
    </row>
    <row r="471" spans="1:14" s="10" customFormat="1" outlineLevel="1" x14ac:dyDescent="0.2">
      <c r="A471" s="51" t="s">
        <v>151</v>
      </c>
      <c r="B471" s="47" t="s">
        <v>37</v>
      </c>
      <c r="C471" s="35" t="s">
        <v>385</v>
      </c>
      <c r="D471" s="9"/>
      <c r="E471" s="16"/>
      <c r="F471" s="15">
        <f t="shared" si="52"/>
        <v>0</v>
      </c>
      <c r="G471" s="36"/>
      <c r="H471" s="57"/>
    </row>
    <row r="472" spans="1:14" outlineLevel="1" x14ac:dyDescent="0.2">
      <c r="A472" s="51" t="s">
        <v>153</v>
      </c>
      <c r="B472" s="47" t="s">
        <v>38</v>
      </c>
      <c r="C472" s="35" t="s">
        <v>385</v>
      </c>
      <c r="D472" s="9"/>
      <c r="E472" s="16"/>
      <c r="F472" s="15">
        <f t="shared" si="52"/>
        <v>0</v>
      </c>
      <c r="G472" s="46"/>
    </row>
    <row r="473" spans="1:14" ht="20.100000000000001" customHeight="1" outlineLevel="1" x14ac:dyDescent="0.2">
      <c r="A473" s="51" t="s">
        <v>155</v>
      </c>
      <c r="B473" s="47" t="s">
        <v>39</v>
      </c>
      <c r="C473" s="35" t="s">
        <v>385</v>
      </c>
      <c r="D473" s="9"/>
      <c r="E473" s="16"/>
      <c r="F473" s="15">
        <f t="shared" si="52"/>
        <v>0</v>
      </c>
      <c r="G473" s="46"/>
    </row>
    <row r="474" spans="1:14" ht="20.100000000000001" customHeight="1" outlineLevel="1" x14ac:dyDescent="0.2">
      <c r="A474" s="51" t="s">
        <v>156</v>
      </c>
      <c r="B474" s="47" t="s">
        <v>40</v>
      </c>
      <c r="C474" s="35" t="s">
        <v>385</v>
      </c>
      <c r="D474" s="9"/>
      <c r="E474" s="16"/>
      <c r="F474" s="15">
        <f t="shared" si="52"/>
        <v>0</v>
      </c>
      <c r="G474" s="46"/>
    </row>
    <row r="475" spans="1:14" ht="57" outlineLevel="1" x14ac:dyDescent="0.2">
      <c r="A475" s="51" t="s">
        <v>158</v>
      </c>
      <c r="B475" s="47" t="s">
        <v>436</v>
      </c>
      <c r="C475" s="35" t="s">
        <v>429</v>
      </c>
      <c r="D475" s="9"/>
      <c r="E475" s="16"/>
      <c r="F475" s="15">
        <f t="shared" si="52"/>
        <v>0</v>
      </c>
      <c r="G475" s="46"/>
    </row>
    <row r="476" spans="1:14" ht="180" outlineLevel="1" x14ac:dyDescent="0.2">
      <c r="A476" s="51">
        <v>9.36</v>
      </c>
      <c r="B476" s="116" t="s">
        <v>437</v>
      </c>
      <c r="C476" s="35" t="s">
        <v>429</v>
      </c>
      <c r="D476" s="9"/>
      <c r="E476" s="16"/>
      <c r="F476" s="15">
        <f t="shared" si="52"/>
        <v>0</v>
      </c>
      <c r="G476" s="46"/>
    </row>
    <row r="477" spans="1:14" ht="20.100000000000001" customHeight="1" outlineLevel="1" x14ac:dyDescent="0.2">
      <c r="A477" s="51">
        <v>9.4</v>
      </c>
      <c r="B477" s="48" t="s">
        <v>228</v>
      </c>
      <c r="C477" s="35"/>
      <c r="D477" s="9"/>
      <c r="E477" s="16"/>
      <c r="F477" s="15">
        <f t="shared" si="52"/>
        <v>0</v>
      </c>
      <c r="G477" s="46"/>
    </row>
    <row r="478" spans="1:14" s="10" customFormat="1" ht="75" outlineLevel="1" x14ac:dyDescent="0.2">
      <c r="A478" s="51">
        <v>9.41</v>
      </c>
      <c r="B478" s="116" t="s">
        <v>229</v>
      </c>
      <c r="C478" s="35"/>
      <c r="D478" s="9"/>
      <c r="E478" s="16"/>
      <c r="F478" s="15">
        <f t="shared" si="52"/>
        <v>0</v>
      </c>
      <c r="G478" s="36"/>
    </row>
    <row r="479" spans="1:14" s="10" customFormat="1" ht="28.5" outlineLevel="1" x14ac:dyDescent="0.2">
      <c r="A479" s="51" t="s">
        <v>149</v>
      </c>
      <c r="B479" s="47" t="s">
        <v>41</v>
      </c>
      <c r="C479" s="35" t="s">
        <v>429</v>
      </c>
      <c r="D479" s="9"/>
      <c r="E479" s="16"/>
      <c r="F479" s="15">
        <f t="shared" si="52"/>
        <v>0</v>
      </c>
      <c r="G479" s="36"/>
    </row>
    <row r="480" spans="1:14" s="10" customFormat="1" ht="57" outlineLevel="1" x14ac:dyDescent="0.2">
      <c r="A480" s="51" t="s">
        <v>151</v>
      </c>
      <c r="B480" s="49" t="s">
        <v>230</v>
      </c>
      <c r="C480" s="35" t="s">
        <v>429</v>
      </c>
      <c r="D480" s="50"/>
      <c r="E480" s="50"/>
      <c r="F480" s="15">
        <f t="shared" si="52"/>
        <v>0</v>
      </c>
      <c r="G480" s="58"/>
      <c r="H480" s="59"/>
      <c r="I480" s="59"/>
      <c r="J480" s="59"/>
      <c r="K480" s="59"/>
      <c r="L480" s="59"/>
      <c r="M480" s="59"/>
      <c r="N480" s="59"/>
    </row>
    <row r="481" spans="1:14" s="10" customFormat="1" ht="42.75" outlineLevel="1" x14ac:dyDescent="0.2">
      <c r="A481" s="51" t="s">
        <v>153</v>
      </c>
      <c r="B481" s="47" t="s">
        <v>42</v>
      </c>
      <c r="C481" s="35" t="s">
        <v>429</v>
      </c>
      <c r="D481" s="50"/>
      <c r="E481" s="50"/>
      <c r="F481" s="15">
        <f t="shared" si="52"/>
        <v>0</v>
      </c>
      <c r="G481" s="58"/>
      <c r="H481" s="59"/>
      <c r="I481" s="59"/>
      <c r="J481" s="59"/>
      <c r="K481" s="59"/>
      <c r="L481" s="59"/>
      <c r="M481" s="59"/>
      <c r="N481" s="59"/>
    </row>
    <row r="482" spans="1:14" s="10" customFormat="1" ht="85.5" outlineLevel="1" x14ac:dyDescent="0.2">
      <c r="A482" s="51" t="s">
        <v>155</v>
      </c>
      <c r="B482" s="49" t="s">
        <v>231</v>
      </c>
      <c r="C482" s="35" t="s">
        <v>429</v>
      </c>
      <c r="D482" s="50"/>
      <c r="E482" s="50"/>
      <c r="F482" s="15">
        <f t="shared" si="52"/>
        <v>0</v>
      </c>
      <c r="G482" s="58"/>
      <c r="H482" s="59"/>
      <c r="I482" s="59"/>
      <c r="J482" s="59"/>
      <c r="K482" s="59"/>
      <c r="L482" s="59"/>
      <c r="M482" s="59"/>
      <c r="N482" s="59"/>
    </row>
    <row r="483" spans="1:14" s="10" customFormat="1" ht="128.25" outlineLevel="1" x14ac:dyDescent="0.2">
      <c r="A483" s="51" t="s">
        <v>156</v>
      </c>
      <c r="B483" s="49" t="s">
        <v>232</v>
      </c>
      <c r="C483" s="35" t="s">
        <v>214</v>
      </c>
      <c r="D483" s="50"/>
      <c r="E483" s="50"/>
      <c r="F483" s="15">
        <f t="shared" si="52"/>
        <v>0</v>
      </c>
      <c r="G483" s="58"/>
      <c r="H483" s="59"/>
      <c r="I483" s="59"/>
      <c r="J483" s="59"/>
      <c r="K483" s="59"/>
      <c r="L483" s="59"/>
      <c r="M483" s="59"/>
      <c r="N483" s="59"/>
    </row>
    <row r="484" spans="1:14" s="10" customFormat="1" ht="42.75" outlineLevel="1" x14ac:dyDescent="0.2">
      <c r="A484" s="51" t="s">
        <v>158</v>
      </c>
      <c r="B484" s="49" t="s">
        <v>233</v>
      </c>
      <c r="C484" s="35" t="s">
        <v>429</v>
      </c>
      <c r="D484" s="50"/>
      <c r="E484" s="50"/>
      <c r="F484" s="15">
        <f t="shared" si="52"/>
        <v>0</v>
      </c>
      <c r="G484" s="58"/>
      <c r="H484" s="59"/>
      <c r="I484" s="59"/>
      <c r="J484" s="59"/>
      <c r="K484" s="59"/>
      <c r="L484" s="59"/>
      <c r="M484" s="59"/>
      <c r="N484" s="59"/>
    </row>
    <row r="485" spans="1:14" s="10" customFormat="1" ht="57" outlineLevel="1" x14ac:dyDescent="0.2">
      <c r="A485" s="51" t="s">
        <v>160</v>
      </c>
      <c r="B485" s="49" t="s">
        <v>234</v>
      </c>
      <c r="C485" s="35" t="s">
        <v>385</v>
      </c>
      <c r="D485" s="50"/>
      <c r="E485" s="50"/>
      <c r="F485" s="15">
        <f t="shared" si="52"/>
        <v>0</v>
      </c>
      <c r="G485" s="58"/>
      <c r="H485" s="59"/>
      <c r="I485" s="59"/>
      <c r="J485" s="59"/>
      <c r="K485" s="59"/>
      <c r="L485" s="59"/>
      <c r="M485" s="59"/>
      <c r="N485" s="59"/>
    </row>
    <row r="486" spans="1:14" s="10" customFormat="1" ht="85.5" outlineLevel="1" x14ac:dyDescent="0.2">
      <c r="A486" s="51" t="s">
        <v>161</v>
      </c>
      <c r="B486" s="49" t="s">
        <v>235</v>
      </c>
      <c r="C486" s="35" t="s">
        <v>385</v>
      </c>
      <c r="D486" s="50"/>
      <c r="E486" s="50"/>
      <c r="F486" s="15">
        <f t="shared" si="52"/>
        <v>0</v>
      </c>
      <c r="G486" s="58"/>
      <c r="H486" s="59"/>
      <c r="I486" s="59"/>
      <c r="J486" s="59"/>
      <c r="K486" s="59"/>
      <c r="L486" s="59"/>
      <c r="M486" s="59"/>
      <c r="N486" s="59"/>
    </row>
    <row r="487" spans="1:14" s="10" customFormat="1" ht="42.75" outlineLevel="1" x14ac:dyDescent="0.2">
      <c r="A487" s="51" t="s">
        <v>163</v>
      </c>
      <c r="B487" s="49" t="s">
        <v>354</v>
      </c>
      <c r="C487" s="35" t="s">
        <v>111</v>
      </c>
      <c r="D487" s="50"/>
      <c r="E487" s="50"/>
      <c r="F487" s="15">
        <f t="shared" si="52"/>
        <v>0</v>
      </c>
      <c r="G487" s="58"/>
      <c r="H487" s="59"/>
      <c r="I487" s="59"/>
      <c r="J487" s="59"/>
      <c r="K487" s="59"/>
      <c r="L487" s="59"/>
      <c r="M487" s="59"/>
      <c r="N487" s="59"/>
    </row>
    <row r="488" spans="1:14" s="10" customFormat="1" ht="42.75" outlineLevel="1" x14ac:dyDescent="0.2">
      <c r="A488" s="51" t="s">
        <v>165</v>
      </c>
      <c r="B488" s="49" t="s">
        <v>353</v>
      </c>
      <c r="C488" s="35" t="s">
        <v>385</v>
      </c>
      <c r="D488" s="50"/>
      <c r="E488" s="50"/>
      <c r="F488" s="15">
        <f t="shared" si="52"/>
        <v>0</v>
      </c>
      <c r="G488" s="58"/>
      <c r="H488" s="59"/>
      <c r="I488" s="59"/>
      <c r="J488" s="59"/>
      <c r="K488" s="59"/>
      <c r="L488" s="59"/>
      <c r="M488" s="59"/>
      <c r="N488" s="59"/>
    </row>
    <row r="489" spans="1:14" s="10" customFormat="1" ht="42.75" outlineLevel="1" x14ac:dyDescent="0.2">
      <c r="A489" s="51" t="s">
        <v>178</v>
      </c>
      <c r="B489" s="49" t="s">
        <v>352</v>
      </c>
      <c r="C489" s="35" t="s">
        <v>385</v>
      </c>
      <c r="D489" s="50"/>
      <c r="E489" s="50"/>
      <c r="F489" s="15">
        <f t="shared" si="52"/>
        <v>0</v>
      </c>
      <c r="G489" s="58"/>
      <c r="H489" s="59"/>
      <c r="I489" s="59"/>
      <c r="J489" s="59"/>
      <c r="K489" s="59"/>
      <c r="L489" s="59"/>
      <c r="M489" s="59"/>
      <c r="N489" s="59"/>
    </row>
    <row r="490" spans="1:14" s="10" customFormat="1" ht="57" outlineLevel="1" x14ac:dyDescent="0.2">
      <c r="A490" s="51" t="s">
        <v>180</v>
      </c>
      <c r="B490" s="49" t="s">
        <v>351</v>
      </c>
      <c r="C490" s="35" t="s">
        <v>429</v>
      </c>
      <c r="D490" s="50"/>
      <c r="E490" s="50"/>
      <c r="F490" s="15">
        <f t="shared" si="52"/>
        <v>0</v>
      </c>
      <c r="G490" s="58"/>
      <c r="H490" s="59"/>
      <c r="I490" s="59"/>
      <c r="J490" s="59"/>
      <c r="K490" s="59"/>
      <c r="L490" s="59"/>
      <c r="M490" s="59"/>
      <c r="N490" s="59"/>
    </row>
    <row r="491" spans="1:14" s="10" customFormat="1" ht="57" outlineLevel="1" x14ac:dyDescent="0.2">
      <c r="A491" s="51" t="s">
        <v>112</v>
      </c>
      <c r="B491" s="49" t="s">
        <v>236</v>
      </c>
      <c r="C491" s="35" t="s">
        <v>429</v>
      </c>
      <c r="D491" s="50"/>
      <c r="E491" s="50"/>
      <c r="F491" s="15">
        <f t="shared" si="52"/>
        <v>0</v>
      </c>
      <c r="G491" s="58"/>
      <c r="H491" s="59"/>
      <c r="I491" s="59"/>
      <c r="J491" s="59"/>
      <c r="K491" s="59"/>
      <c r="L491" s="59"/>
      <c r="M491" s="59"/>
      <c r="N491" s="59"/>
    </row>
    <row r="492" spans="1:14" s="10" customFormat="1" ht="156.75" outlineLevel="1" x14ac:dyDescent="0.2">
      <c r="A492" s="51"/>
      <c r="B492" s="49" t="s">
        <v>437</v>
      </c>
      <c r="C492" s="35"/>
      <c r="D492" s="50"/>
      <c r="E492" s="50"/>
      <c r="F492" s="15">
        <f t="shared" si="52"/>
        <v>0</v>
      </c>
      <c r="G492" s="60"/>
      <c r="H492" s="22"/>
      <c r="I492" s="22"/>
      <c r="J492" s="22"/>
      <c r="K492" s="22"/>
      <c r="L492" s="22"/>
      <c r="M492" s="22"/>
      <c r="N492" s="22"/>
    </row>
    <row r="493" spans="1:14" s="10" customFormat="1" ht="20.100000000000001" customHeight="1" outlineLevel="1" x14ac:dyDescent="0.2">
      <c r="A493" s="51"/>
      <c r="B493" s="116"/>
      <c r="C493" s="35"/>
      <c r="D493" s="50"/>
      <c r="E493" s="50"/>
      <c r="F493" s="15">
        <f t="shared" ref="F493:F510" si="53">IFERROR(E493*D493,0)</f>
        <v>0</v>
      </c>
      <c r="G493" s="60"/>
      <c r="H493" s="22"/>
      <c r="I493" s="22"/>
      <c r="J493" s="22"/>
      <c r="K493" s="22"/>
      <c r="L493" s="22"/>
      <c r="M493" s="22"/>
      <c r="N493" s="22"/>
    </row>
    <row r="494" spans="1:14" s="10" customFormat="1" ht="20.100000000000001" customHeight="1" outlineLevel="1" x14ac:dyDescent="0.2">
      <c r="A494" s="51"/>
      <c r="B494" s="116"/>
      <c r="C494" s="35"/>
      <c r="D494" s="50"/>
      <c r="E494" s="50"/>
      <c r="F494" s="15">
        <f t="shared" si="53"/>
        <v>0</v>
      </c>
      <c r="G494" s="60"/>
      <c r="H494" s="22"/>
      <c r="I494" s="22"/>
      <c r="J494" s="22"/>
      <c r="K494" s="22"/>
      <c r="L494" s="22"/>
      <c r="M494" s="22"/>
      <c r="N494" s="22"/>
    </row>
    <row r="495" spans="1:14" s="10" customFormat="1" ht="20.100000000000001" customHeight="1" outlineLevel="1" x14ac:dyDescent="0.2">
      <c r="A495" s="51"/>
      <c r="B495" s="116"/>
      <c r="C495" s="35"/>
      <c r="D495" s="50"/>
      <c r="E495" s="50"/>
      <c r="F495" s="15">
        <f t="shared" si="53"/>
        <v>0</v>
      </c>
      <c r="G495" s="60"/>
      <c r="H495" s="22"/>
      <c r="I495" s="22"/>
      <c r="J495" s="22"/>
      <c r="K495" s="22"/>
      <c r="L495" s="22"/>
      <c r="M495" s="22"/>
      <c r="N495" s="22"/>
    </row>
    <row r="496" spans="1:14" s="10" customFormat="1" ht="20.100000000000001" customHeight="1" outlineLevel="1" x14ac:dyDescent="0.2">
      <c r="A496" s="51"/>
      <c r="B496" s="116"/>
      <c r="C496" s="35"/>
      <c r="D496" s="50"/>
      <c r="E496" s="50"/>
      <c r="F496" s="15">
        <f t="shared" si="53"/>
        <v>0</v>
      </c>
      <c r="G496" s="60"/>
      <c r="H496" s="22"/>
      <c r="I496" s="22"/>
      <c r="J496" s="22"/>
      <c r="K496" s="22"/>
      <c r="L496" s="22"/>
      <c r="M496" s="22"/>
      <c r="N496" s="22"/>
    </row>
    <row r="497" spans="1:14" s="10" customFormat="1" ht="20.100000000000001" customHeight="1" outlineLevel="1" x14ac:dyDescent="0.2">
      <c r="A497" s="51"/>
      <c r="B497" s="116"/>
      <c r="C497" s="35"/>
      <c r="D497" s="50"/>
      <c r="E497" s="50"/>
      <c r="F497" s="15">
        <f t="shared" si="53"/>
        <v>0</v>
      </c>
      <c r="G497" s="60"/>
      <c r="H497" s="22"/>
      <c r="I497" s="22"/>
      <c r="J497" s="22"/>
      <c r="K497" s="22"/>
      <c r="L497" s="22"/>
      <c r="M497" s="22"/>
      <c r="N497" s="22"/>
    </row>
    <row r="498" spans="1:14" s="10" customFormat="1" ht="20.100000000000001" customHeight="1" outlineLevel="1" x14ac:dyDescent="0.2">
      <c r="A498" s="51"/>
      <c r="B498" s="116"/>
      <c r="C498" s="35"/>
      <c r="D498" s="50"/>
      <c r="E498" s="50"/>
      <c r="F498" s="15">
        <f t="shared" si="53"/>
        <v>0</v>
      </c>
      <c r="G498" s="60"/>
      <c r="H498" s="22"/>
      <c r="I498" s="22"/>
      <c r="J498" s="22"/>
      <c r="K498" s="22"/>
      <c r="L498" s="22"/>
      <c r="M498" s="22"/>
      <c r="N498" s="22"/>
    </row>
    <row r="499" spans="1:14" s="10" customFormat="1" ht="20.100000000000001" customHeight="1" outlineLevel="1" x14ac:dyDescent="0.2">
      <c r="A499" s="51"/>
      <c r="B499" s="116"/>
      <c r="C499" s="35"/>
      <c r="D499" s="50"/>
      <c r="E499" s="50"/>
      <c r="F499" s="15">
        <f t="shared" si="53"/>
        <v>0</v>
      </c>
      <c r="G499" s="60"/>
      <c r="H499" s="22"/>
      <c r="I499" s="22"/>
      <c r="J499" s="22"/>
      <c r="K499" s="22"/>
      <c r="L499" s="22"/>
      <c r="M499" s="22"/>
      <c r="N499" s="22"/>
    </row>
    <row r="500" spans="1:14" s="10" customFormat="1" ht="20.100000000000001" customHeight="1" outlineLevel="1" x14ac:dyDescent="0.2">
      <c r="A500" s="51"/>
      <c r="B500" s="116"/>
      <c r="C500" s="35"/>
      <c r="D500" s="50"/>
      <c r="E500" s="50"/>
      <c r="F500" s="15">
        <f t="shared" si="53"/>
        <v>0</v>
      </c>
      <c r="G500" s="60"/>
      <c r="H500" s="22"/>
      <c r="I500" s="22"/>
      <c r="J500" s="22"/>
      <c r="K500" s="22"/>
      <c r="L500" s="22"/>
      <c r="M500" s="22"/>
      <c r="N500" s="22"/>
    </row>
    <row r="501" spans="1:14" s="10" customFormat="1" ht="20.100000000000001" customHeight="1" outlineLevel="1" x14ac:dyDescent="0.2">
      <c r="A501" s="51"/>
      <c r="B501" s="116"/>
      <c r="C501" s="35"/>
      <c r="D501" s="50"/>
      <c r="E501" s="50"/>
      <c r="F501" s="15">
        <f t="shared" si="53"/>
        <v>0</v>
      </c>
      <c r="G501" s="60"/>
      <c r="H501" s="22"/>
      <c r="I501" s="22"/>
      <c r="J501" s="22"/>
      <c r="K501" s="22"/>
      <c r="L501" s="22"/>
      <c r="M501" s="22"/>
      <c r="N501" s="22"/>
    </row>
    <row r="502" spans="1:14" s="10" customFormat="1" ht="20.100000000000001" customHeight="1" outlineLevel="1" x14ac:dyDescent="0.2">
      <c r="A502" s="51"/>
      <c r="B502" s="116"/>
      <c r="C502" s="35"/>
      <c r="D502" s="50"/>
      <c r="E502" s="50"/>
      <c r="F502" s="15">
        <f t="shared" si="53"/>
        <v>0</v>
      </c>
      <c r="G502" s="60"/>
      <c r="H502" s="22"/>
      <c r="I502" s="22"/>
      <c r="J502" s="22"/>
      <c r="K502" s="22"/>
      <c r="L502" s="22"/>
      <c r="M502" s="22"/>
      <c r="N502" s="22"/>
    </row>
    <row r="503" spans="1:14" s="10" customFormat="1" ht="20.100000000000001" customHeight="1" outlineLevel="1" x14ac:dyDescent="0.2">
      <c r="A503" s="51"/>
      <c r="B503" s="116"/>
      <c r="C503" s="35"/>
      <c r="D503" s="50"/>
      <c r="E503" s="50"/>
      <c r="F503" s="15">
        <f t="shared" si="53"/>
        <v>0</v>
      </c>
      <c r="G503" s="60"/>
      <c r="H503" s="22"/>
      <c r="I503" s="22"/>
      <c r="J503" s="22"/>
      <c r="K503" s="22"/>
      <c r="L503" s="22"/>
      <c r="M503" s="22"/>
      <c r="N503" s="22"/>
    </row>
    <row r="504" spans="1:14" s="10" customFormat="1" ht="20.100000000000001" customHeight="1" outlineLevel="1" x14ac:dyDescent="0.2">
      <c r="A504" s="51"/>
      <c r="B504" s="116"/>
      <c r="C504" s="35"/>
      <c r="D504" s="50"/>
      <c r="E504" s="50"/>
      <c r="F504" s="15">
        <f t="shared" si="53"/>
        <v>0</v>
      </c>
      <c r="G504" s="60"/>
      <c r="H504" s="22"/>
      <c r="I504" s="22"/>
      <c r="J504" s="22"/>
      <c r="K504" s="22"/>
      <c r="L504" s="22"/>
      <c r="M504" s="22"/>
      <c r="N504" s="22"/>
    </row>
    <row r="505" spans="1:14" s="10" customFormat="1" ht="20.100000000000001" customHeight="1" outlineLevel="1" x14ac:dyDescent="0.2">
      <c r="A505" s="51"/>
      <c r="B505" s="116"/>
      <c r="C505" s="35"/>
      <c r="D505" s="50"/>
      <c r="E505" s="50"/>
      <c r="F505" s="15">
        <f t="shared" si="53"/>
        <v>0</v>
      </c>
      <c r="G505" s="60"/>
      <c r="H505" s="22"/>
      <c r="I505" s="22"/>
      <c r="J505" s="22"/>
      <c r="K505" s="22"/>
      <c r="L505" s="22"/>
      <c r="M505" s="22"/>
      <c r="N505" s="22"/>
    </row>
    <row r="506" spans="1:14" s="10" customFormat="1" ht="20.100000000000001" customHeight="1" outlineLevel="1" x14ac:dyDescent="0.2">
      <c r="A506" s="51"/>
      <c r="B506" s="116"/>
      <c r="C506" s="35"/>
      <c r="D506" s="50"/>
      <c r="E506" s="50"/>
      <c r="F506" s="15">
        <f t="shared" si="53"/>
        <v>0</v>
      </c>
      <c r="G506" s="60"/>
      <c r="H506" s="22"/>
      <c r="I506" s="22"/>
      <c r="J506" s="22"/>
      <c r="K506" s="22"/>
      <c r="L506" s="22"/>
      <c r="M506" s="22"/>
      <c r="N506" s="22"/>
    </row>
    <row r="507" spans="1:14" s="10" customFormat="1" ht="20.100000000000001" customHeight="1" outlineLevel="1" x14ac:dyDescent="0.2">
      <c r="A507" s="51"/>
      <c r="B507" s="116"/>
      <c r="C507" s="35"/>
      <c r="D507" s="50"/>
      <c r="E507" s="50"/>
      <c r="F507" s="15">
        <f t="shared" si="53"/>
        <v>0</v>
      </c>
      <c r="G507" s="60"/>
      <c r="H507" s="22"/>
      <c r="I507" s="22"/>
      <c r="J507" s="22"/>
      <c r="K507" s="22"/>
      <c r="L507" s="22"/>
      <c r="M507" s="22"/>
      <c r="N507" s="22"/>
    </row>
    <row r="508" spans="1:14" s="10" customFormat="1" ht="20.100000000000001" customHeight="1" outlineLevel="1" x14ac:dyDescent="0.2">
      <c r="A508" s="51"/>
      <c r="B508" s="116"/>
      <c r="C508" s="35"/>
      <c r="D508" s="50"/>
      <c r="E508" s="50"/>
      <c r="F508" s="15">
        <f t="shared" si="53"/>
        <v>0</v>
      </c>
      <c r="G508" s="60"/>
      <c r="H508" s="22"/>
      <c r="I508" s="22"/>
      <c r="J508" s="22"/>
      <c r="K508" s="22"/>
      <c r="L508" s="22"/>
      <c r="M508" s="22"/>
      <c r="N508" s="22"/>
    </row>
    <row r="509" spans="1:14" s="10" customFormat="1" ht="20.100000000000001" customHeight="1" outlineLevel="1" x14ac:dyDescent="0.2">
      <c r="A509" s="51"/>
      <c r="B509" s="116"/>
      <c r="C509" s="35"/>
      <c r="D509" s="50"/>
      <c r="E509" s="50"/>
      <c r="F509" s="15">
        <f t="shared" si="53"/>
        <v>0</v>
      </c>
      <c r="G509" s="60"/>
      <c r="H509" s="22"/>
      <c r="I509" s="22"/>
      <c r="J509" s="22"/>
      <c r="K509" s="22"/>
      <c r="L509" s="22"/>
      <c r="M509" s="22"/>
      <c r="N509" s="22"/>
    </row>
    <row r="510" spans="1:14" s="10" customFormat="1" ht="20.100000000000001" customHeight="1" outlineLevel="1" x14ac:dyDescent="0.2">
      <c r="A510" s="51"/>
      <c r="B510" s="116"/>
      <c r="C510" s="35"/>
      <c r="D510" s="50"/>
      <c r="E510" s="50"/>
      <c r="F510" s="15">
        <f t="shared" si="53"/>
        <v>0</v>
      </c>
      <c r="G510" s="60"/>
      <c r="H510" s="22"/>
      <c r="I510" s="22"/>
      <c r="J510" s="22"/>
      <c r="K510" s="22"/>
      <c r="L510" s="22"/>
      <c r="M510" s="22"/>
      <c r="N510" s="22"/>
    </row>
    <row r="511" spans="1:14" s="25" customFormat="1" ht="24.95" customHeight="1" x14ac:dyDescent="0.2">
      <c r="A511" s="147"/>
      <c r="B511" s="127" t="s">
        <v>91</v>
      </c>
      <c r="C511" s="18"/>
      <c r="D511" s="19"/>
      <c r="E511" s="19"/>
      <c r="F511" s="98">
        <f>SUM(F363:F510)</f>
        <v>0</v>
      </c>
    </row>
    <row r="512" spans="1:14" s="25" customFormat="1" ht="24.95" customHeight="1" outlineLevel="1" x14ac:dyDescent="0.2">
      <c r="A512" s="11" t="s">
        <v>99</v>
      </c>
      <c r="B512" s="126" t="s">
        <v>103</v>
      </c>
      <c r="C512" s="11"/>
      <c r="D512" s="20"/>
      <c r="E512" s="20"/>
      <c r="F512" s="20"/>
    </row>
    <row r="513" spans="1:14" s="10" customFormat="1" ht="105" outlineLevel="1" x14ac:dyDescent="0.2">
      <c r="A513" s="51"/>
      <c r="B513" s="116" t="s">
        <v>438</v>
      </c>
      <c r="C513" s="35"/>
      <c r="D513" s="50"/>
      <c r="E513" s="50"/>
      <c r="F513" s="15">
        <f t="shared" ref="F513:F578" si="54">IFERROR(E513*D513,0)</f>
        <v>0</v>
      </c>
      <c r="G513" s="58"/>
      <c r="H513" s="59"/>
      <c r="I513" s="59"/>
      <c r="J513" s="59"/>
      <c r="K513" s="59"/>
      <c r="L513" s="59"/>
      <c r="M513" s="59"/>
      <c r="N513" s="59"/>
    </row>
    <row r="514" spans="1:14" s="10" customFormat="1" outlineLevel="1" x14ac:dyDescent="0.2">
      <c r="A514" s="51">
        <v>10.1</v>
      </c>
      <c r="B514" s="37" t="s">
        <v>237</v>
      </c>
      <c r="C514" s="35"/>
      <c r="D514" s="50"/>
      <c r="E514" s="50"/>
      <c r="F514" s="15">
        <f t="shared" si="54"/>
        <v>0</v>
      </c>
      <c r="G514" s="58"/>
      <c r="H514" s="59"/>
      <c r="I514" s="59"/>
      <c r="J514" s="59"/>
      <c r="K514" s="59"/>
      <c r="L514" s="59"/>
      <c r="M514" s="59"/>
      <c r="N514" s="59"/>
    </row>
    <row r="515" spans="1:14" s="10" customFormat="1" ht="57" outlineLevel="1" x14ac:dyDescent="0.2">
      <c r="A515" s="51" t="s">
        <v>149</v>
      </c>
      <c r="B515" s="45" t="s">
        <v>238</v>
      </c>
      <c r="C515" s="35" t="s">
        <v>385</v>
      </c>
      <c r="D515" s="50"/>
      <c r="E515" s="50"/>
      <c r="F515" s="15">
        <f t="shared" si="54"/>
        <v>0</v>
      </c>
      <c r="G515" s="58"/>
      <c r="H515" s="59"/>
      <c r="I515" s="59"/>
      <c r="J515" s="59"/>
      <c r="K515" s="59"/>
      <c r="L515" s="59"/>
      <c r="M515" s="59"/>
      <c r="N515" s="59"/>
    </row>
    <row r="516" spans="1:14" s="10" customFormat="1" ht="57" outlineLevel="1" x14ac:dyDescent="0.2">
      <c r="A516" s="51" t="s">
        <v>151</v>
      </c>
      <c r="B516" s="45" t="s">
        <v>239</v>
      </c>
      <c r="C516" s="35" t="s">
        <v>385</v>
      </c>
      <c r="D516" s="61"/>
      <c r="E516" s="61"/>
      <c r="F516" s="15">
        <f t="shared" si="54"/>
        <v>0</v>
      </c>
      <c r="G516" s="62"/>
      <c r="H516" s="59"/>
      <c r="I516" s="59"/>
      <c r="J516" s="59"/>
      <c r="K516" s="59"/>
      <c r="L516" s="59"/>
      <c r="M516" s="59"/>
      <c r="N516" s="59"/>
    </row>
    <row r="517" spans="1:14" s="10" customFormat="1" ht="57" outlineLevel="1" x14ac:dyDescent="0.2">
      <c r="A517" s="51" t="s">
        <v>153</v>
      </c>
      <c r="B517" s="45" t="s">
        <v>240</v>
      </c>
      <c r="C517" s="35" t="s">
        <v>385</v>
      </c>
      <c r="D517" s="61"/>
      <c r="E517" s="61"/>
      <c r="F517" s="15">
        <f t="shared" si="54"/>
        <v>0</v>
      </c>
      <c r="G517" s="62"/>
      <c r="H517" s="59"/>
      <c r="I517" s="59"/>
      <c r="J517" s="59"/>
      <c r="K517" s="59"/>
      <c r="L517" s="59"/>
      <c r="M517" s="59"/>
      <c r="N517" s="59"/>
    </row>
    <row r="518" spans="1:14" s="10" customFormat="1" ht="28.5" outlineLevel="1" x14ac:dyDescent="0.2">
      <c r="A518" s="51" t="s">
        <v>155</v>
      </c>
      <c r="B518" s="45" t="s">
        <v>241</v>
      </c>
      <c r="C518" s="35" t="s">
        <v>429</v>
      </c>
      <c r="D518" s="61"/>
      <c r="E518" s="61"/>
      <c r="F518" s="15">
        <f t="shared" si="54"/>
        <v>0</v>
      </c>
      <c r="G518" s="62"/>
      <c r="H518" s="59"/>
      <c r="I518" s="59"/>
      <c r="J518" s="59"/>
      <c r="K518" s="59"/>
      <c r="L518" s="59"/>
      <c r="M518" s="59"/>
      <c r="N518" s="59"/>
    </row>
    <row r="519" spans="1:14" s="10" customFormat="1" outlineLevel="1" x14ac:dyDescent="0.2">
      <c r="A519" s="51">
        <v>10.199999999999999</v>
      </c>
      <c r="B519" s="37" t="s">
        <v>242</v>
      </c>
      <c r="C519" s="63"/>
      <c r="D519" s="61"/>
      <c r="E519" s="61"/>
      <c r="F519" s="15">
        <f t="shared" si="54"/>
        <v>0</v>
      </c>
      <c r="G519" s="62"/>
      <c r="H519" s="59"/>
      <c r="I519" s="59"/>
      <c r="J519" s="59"/>
      <c r="K519" s="59"/>
      <c r="L519" s="59"/>
      <c r="M519" s="59"/>
      <c r="N519" s="59"/>
    </row>
    <row r="520" spans="1:14" s="10" customFormat="1" ht="28.5" outlineLevel="1" x14ac:dyDescent="0.2">
      <c r="A520" s="51" t="s">
        <v>149</v>
      </c>
      <c r="B520" s="128" t="s">
        <v>243</v>
      </c>
      <c r="C520" s="35" t="s">
        <v>111</v>
      </c>
      <c r="D520" s="61"/>
      <c r="E520" s="61"/>
      <c r="F520" s="15">
        <f t="shared" si="54"/>
        <v>0</v>
      </c>
      <c r="G520" s="62"/>
      <c r="H520" s="59"/>
      <c r="I520" s="59"/>
      <c r="J520" s="59"/>
      <c r="K520" s="59"/>
      <c r="L520" s="59"/>
      <c r="M520" s="59"/>
      <c r="N520" s="59"/>
    </row>
    <row r="521" spans="1:14" s="10" customFormat="1" ht="28.5" outlineLevel="1" x14ac:dyDescent="0.2">
      <c r="A521" s="51" t="s">
        <v>151</v>
      </c>
      <c r="B521" s="128" t="s">
        <v>244</v>
      </c>
      <c r="C521" s="35" t="s">
        <v>111</v>
      </c>
      <c r="D521" s="61"/>
      <c r="E521" s="61"/>
      <c r="F521" s="15">
        <f t="shared" si="54"/>
        <v>0</v>
      </c>
      <c r="G521" s="62"/>
      <c r="H521" s="59"/>
      <c r="I521" s="59"/>
      <c r="J521" s="59"/>
      <c r="K521" s="59"/>
      <c r="L521" s="59"/>
      <c r="M521" s="59"/>
      <c r="N521" s="59"/>
    </row>
    <row r="522" spans="1:14" s="10" customFormat="1" ht="28.5" outlineLevel="1" x14ac:dyDescent="0.2">
      <c r="A522" s="51" t="s">
        <v>153</v>
      </c>
      <c r="B522" s="128" t="s">
        <v>245</v>
      </c>
      <c r="C522" s="35" t="s">
        <v>111</v>
      </c>
      <c r="D522" s="61"/>
      <c r="E522" s="61"/>
      <c r="F522" s="15">
        <f t="shared" si="54"/>
        <v>0</v>
      </c>
      <c r="G522" s="62"/>
      <c r="H522" s="59"/>
      <c r="I522" s="59"/>
      <c r="J522" s="59"/>
      <c r="K522" s="59"/>
      <c r="L522" s="59"/>
      <c r="M522" s="59"/>
      <c r="N522" s="59"/>
    </row>
    <row r="523" spans="1:14" s="66" customFormat="1" ht="105" outlineLevel="1" x14ac:dyDescent="0.2">
      <c r="A523" s="51">
        <v>10.3</v>
      </c>
      <c r="B523" s="116" t="s">
        <v>246</v>
      </c>
      <c r="C523" s="35"/>
      <c r="D523" s="50"/>
      <c r="E523" s="50"/>
      <c r="F523" s="15">
        <f t="shared" si="54"/>
        <v>0</v>
      </c>
      <c r="G523" s="64"/>
      <c r="H523" s="65"/>
      <c r="I523" s="65"/>
      <c r="J523" s="65"/>
      <c r="K523" s="65"/>
      <c r="L523" s="65"/>
      <c r="M523" s="65"/>
      <c r="N523" s="65"/>
    </row>
    <row r="524" spans="1:14" s="66" customFormat="1" ht="20.100000000000001" customHeight="1" outlineLevel="1" x14ac:dyDescent="0.2">
      <c r="A524" s="51" t="s">
        <v>149</v>
      </c>
      <c r="B524" s="47" t="s">
        <v>247</v>
      </c>
      <c r="C524" s="40" t="s">
        <v>385</v>
      </c>
      <c r="D524" s="50"/>
      <c r="E524" s="50"/>
      <c r="F524" s="15">
        <f t="shared" si="54"/>
        <v>0</v>
      </c>
      <c r="G524" s="64"/>
      <c r="H524" s="65"/>
      <c r="I524" s="65"/>
      <c r="J524" s="65"/>
      <c r="K524" s="65"/>
      <c r="L524" s="65"/>
      <c r="M524" s="65"/>
      <c r="N524" s="65"/>
    </row>
    <row r="525" spans="1:14" s="10" customFormat="1" outlineLevel="1" x14ac:dyDescent="0.2">
      <c r="A525" s="51" t="s">
        <v>151</v>
      </c>
      <c r="B525" s="47" t="s">
        <v>248</v>
      </c>
      <c r="C525" s="40" t="s">
        <v>385</v>
      </c>
      <c r="D525" s="50"/>
      <c r="E525" s="50"/>
      <c r="F525" s="15">
        <f t="shared" si="54"/>
        <v>0</v>
      </c>
      <c r="G525" s="62"/>
      <c r="H525" s="59"/>
      <c r="I525" s="59"/>
      <c r="J525" s="59"/>
      <c r="K525" s="59"/>
      <c r="L525" s="59"/>
      <c r="M525" s="59"/>
      <c r="N525" s="59"/>
    </row>
    <row r="526" spans="1:14" s="10" customFormat="1" outlineLevel="1" x14ac:dyDescent="0.2">
      <c r="A526" s="51" t="s">
        <v>153</v>
      </c>
      <c r="B526" s="47" t="s">
        <v>249</v>
      </c>
      <c r="C526" s="40" t="s">
        <v>385</v>
      </c>
      <c r="D526" s="61"/>
      <c r="E526" s="61"/>
      <c r="F526" s="15">
        <f t="shared" si="54"/>
        <v>0</v>
      </c>
      <c r="G526" s="62"/>
      <c r="H526" s="59"/>
      <c r="I526" s="59"/>
      <c r="J526" s="59"/>
      <c r="K526" s="59"/>
      <c r="L526" s="59"/>
      <c r="M526" s="59"/>
      <c r="N526" s="59"/>
    </row>
    <row r="527" spans="1:14" s="10" customFormat="1" outlineLevel="1" x14ac:dyDescent="0.2">
      <c r="A527" s="51" t="s">
        <v>155</v>
      </c>
      <c r="B527" s="47" t="s">
        <v>250</v>
      </c>
      <c r="C527" s="40" t="s">
        <v>385</v>
      </c>
      <c r="D527" s="61"/>
      <c r="E527" s="61"/>
      <c r="F527" s="15">
        <f t="shared" si="54"/>
        <v>0</v>
      </c>
      <c r="G527" s="62"/>
      <c r="H527" s="59"/>
      <c r="I527" s="59"/>
      <c r="J527" s="59"/>
      <c r="K527" s="59"/>
      <c r="L527" s="59"/>
      <c r="M527" s="59"/>
      <c r="N527" s="59"/>
    </row>
    <row r="528" spans="1:14" s="10" customFormat="1" outlineLevel="1" x14ac:dyDescent="0.2">
      <c r="A528" s="51" t="s">
        <v>156</v>
      </c>
      <c r="B528" s="47" t="s">
        <v>251</v>
      </c>
      <c r="C528" s="40" t="s">
        <v>385</v>
      </c>
      <c r="D528" s="61"/>
      <c r="E528" s="61"/>
      <c r="F528" s="15">
        <f t="shared" si="54"/>
        <v>0</v>
      </c>
      <c r="G528" s="62"/>
      <c r="H528" s="59"/>
      <c r="I528" s="59"/>
      <c r="J528" s="59"/>
      <c r="K528" s="59"/>
      <c r="L528" s="59"/>
      <c r="M528" s="59"/>
      <c r="N528" s="59"/>
    </row>
    <row r="529" spans="1:14" s="10" customFormat="1" outlineLevel="1" x14ac:dyDescent="0.2">
      <c r="A529" s="51" t="s">
        <v>158</v>
      </c>
      <c r="B529" s="47" t="s">
        <v>252</v>
      </c>
      <c r="C529" s="40" t="s">
        <v>385</v>
      </c>
      <c r="D529" s="61"/>
      <c r="E529" s="61"/>
      <c r="F529" s="15">
        <f t="shared" si="54"/>
        <v>0</v>
      </c>
      <c r="G529" s="62"/>
      <c r="H529" s="59"/>
      <c r="I529" s="59"/>
      <c r="J529" s="59"/>
      <c r="K529" s="59"/>
      <c r="L529" s="59"/>
      <c r="M529" s="59"/>
      <c r="N529" s="59"/>
    </row>
    <row r="530" spans="1:14" s="10" customFormat="1" outlineLevel="1" x14ac:dyDescent="0.2">
      <c r="A530" s="34" t="s">
        <v>160</v>
      </c>
      <c r="B530" s="47" t="s">
        <v>253</v>
      </c>
      <c r="C530" s="40" t="s">
        <v>385</v>
      </c>
      <c r="D530" s="50"/>
      <c r="E530" s="50"/>
      <c r="F530" s="15">
        <f t="shared" si="54"/>
        <v>0</v>
      </c>
      <c r="G530" s="62"/>
      <c r="H530" s="59"/>
      <c r="I530" s="59"/>
      <c r="J530" s="59"/>
      <c r="K530" s="59"/>
      <c r="L530" s="59"/>
      <c r="M530" s="59"/>
      <c r="N530" s="59"/>
    </row>
    <row r="531" spans="1:14" s="10" customFormat="1" outlineLevel="1" x14ac:dyDescent="0.2">
      <c r="A531" s="34" t="s">
        <v>161</v>
      </c>
      <c r="B531" s="47" t="s">
        <v>254</v>
      </c>
      <c r="C531" s="40" t="s">
        <v>385</v>
      </c>
      <c r="D531" s="50"/>
      <c r="E531" s="50"/>
      <c r="F531" s="15">
        <f t="shared" si="54"/>
        <v>0</v>
      </c>
      <c r="G531" s="62"/>
      <c r="H531" s="59"/>
      <c r="I531" s="59"/>
      <c r="J531" s="59"/>
      <c r="K531" s="59"/>
      <c r="L531" s="59"/>
      <c r="M531" s="59"/>
      <c r="N531" s="59"/>
    </row>
    <row r="532" spans="1:14" s="10" customFormat="1" outlineLevel="1" x14ac:dyDescent="0.2">
      <c r="A532" s="34" t="s">
        <v>163</v>
      </c>
      <c r="B532" s="47" t="s">
        <v>576</v>
      </c>
      <c r="C532" s="40"/>
      <c r="D532" s="50"/>
      <c r="E532" s="50"/>
      <c r="F532" s="15"/>
      <c r="G532" s="62"/>
      <c r="H532" s="59"/>
      <c r="I532" s="59"/>
      <c r="J532" s="59"/>
      <c r="K532" s="59"/>
      <c r="L532" s="59"/>
      <c r="M532" s="59"/>
      <c r="N532" s="59"/>
    </row>
    <row r="533" spans="1:14" s="10" customFormat="1" ht="28.5" outlineLevel="1" x14ac:dyDescent="0.2">
      <c r="A533" s="34" t="s">
        <v>165</v>
      </c>
      <c r="B533" s="47" t="s">
        <v>255</v>
      </c>
      <c r="C533" s="40" t="s">
        <v>429</v>
      </c>
      <c r="D533" s="50"/>
      <c r="E533" s="50"/>
      <c r="F533" s="15">
        <f t="shared" si="54"/>
        <v>0</v>
      </c>
      <c r="G533" s="62"/>
      <c r="H533" s="59"/>
      <c r="I533" s="59"/>
      <c r="J533" s="59"/>
      <c r="K533" s="59"/>
      <c r="L533" s="59"/>
      <c r="M533" s="59"/>
      <c r="N533" s="59"/>
    </row>
    <row r="534" spans="1:14" s="10" customFormat="1" outlineLevel="1" x14ac:dyDescent="0.2">
      <c r="A534" s="67">
        <v>10.4</v>
      </c>
      <c r="B534" s="37" t="s">
        <v>256</v>
      </c>
      <c r="C534" s="35"/>
      <c r="D534" s="50"/>
      <c r="E534" s="50"/>
      <c r="F534" s="15">
        <f t="shared" si="54"/>
        <v>0</v>
      </c>
      <c r="G534" s="62"/>
      <c r="H534" s="59"/>
      <c r="I534" s="59"/>
      <c r="J534" s="59"/>
      <c r="K534" s="59"/>
      <c r="L534" s="59"/>
      <c r="M534" s="59"/>
      <c r="N534" s="59"/>
    </row>
    <row r="535" spans="1:14" s="10" customFormat="1" outlineLevel="1" x14ac:dyDescent="0.2">
      <c r="A535" s="34" t="s">
        <v>149</v>
      </c>
      <c r="B535" s="47" t="s">
        <v>257</v>
      </c>
      <c r="C535" s="35" t="s">
        <v>385</v>
      </c>
      <c r="D535" s="50"/>
      <c r="E535" s="50"/>
      <c r="F535" s="15">
        <f t="shared" si="54"/>
        <v>0</v>
      </c>
      <c r="G535" s="62"/>
      <c r="H535" s="59"/>
      <c r="I535" s="59"/>
      <c r="J535" s="59"/>
      <c r="K535" s="59"/>
      <c r="L535" s="59"/>
      <c r="M535" s="59"/>
      <c r="N535" s="59"/>
    </row>
    <row r="536" spans="1:14" s="10" customFormat="1" ht="90" outlineLevel="1" x14ac:dyDescent="0.2">
      <c r="A536" s="67">
        <v>10.5</v>
      </c>
      <c r="B536" s="37" t="s">
        <v>577</v>
      </c>
      <c r="C536" s="35" t="s">
        <v>385</v>
      </c>
      <c r="D536" s="50"/>
      <c r="E536" s="50"/>
      <c r="F536" s="15"/>
      <c r="G536" s="62"/>
      <c r="H536" s="59"/>
      <c r="I536" s="59"/>
      <c r="J536" s="59"/>
      <c r="K536" s="59"/>
      <c r="L536" s="59"/>
      <c r="M536" s="59"/>
      <c r="N536" s="59"/>
    </row>
    <row r="537" spans="1:14" s="10" customFormat="1" ht="120" outlineLevel="1" x14ac:dyDescent="0.2">
      <c r="A537" s="67">
        <v>10.6</v>
      </c>
      <c r="B537" s="37" t="s">
        <v>258</v>
      </c>
      <c r="C537" s="35"/>
      <c r="D537" s="50"/>
      <c r="E537" s="50"/>
      <c r="F537" s="15">
        <f t="shared" si="54"/>
        <v>0</v>
      </c>
      <c r="G537" s="62"/>
      <c r="H537" s="59"/>
      <c r="I537" s="59"/>
      <c r="J537" s="59"/>
      <c r="K537" s="59"/>
      <c r="L537" s="59"/>
      <c r="M537" s="59"/>
      <c r="N537" s="59"/>
    </row>
    <row r="538" spans="1:14" s="10" customFormat="1" outlineLevel="1" x14ac:dyDescent="0.2">
      <c r="A538" s="51" t="s">
        <v>149</v>
      </c>
      <c r="B538" s="47" t="s">
        <v>259</v>
      </c>
      <c r="C538" s="40" t="s">
        <v>111</v>
      </c>
      <c r="D538" s="50"/>
      <c r="E538" s="50"/>
      <c r="F538" s="15">
        <f t="shared" si="54"/>
        <v>0</v>
      </c>
      <c r="G538" s="62"/>
      <c r="H538" s="59"/>
      <c r="I538" s="59"/>
      <c r="J538" s="59"/>
      <c r="K538" s="59"/>
      <c r="L538" s="59"/>
      <c r="M538" s="59"/>
      <c r="N538" s="59"/>
    </row>
    <row r="539" spans="1:14" s="10" customFormat="1" outlineLevel="1" x14ac:dyDescent="0.2">
      <c r="A539" s="51" t="s">
        <v>151</v>
      </c>
      <c r="B539" s="47" t="s">
        <v>260</v>
      </c>
      <c r="C539" s="40" t="s">
        <v>111</v>
      </c>
      <c r="D539" s="50"/>
      <c r="E539" s="50"/>
      <c r="F539" s="15">
        <f t="shared" si="54"/>
        <v>0</v>
      </c>
      <c r="G539" s="62"/>
      <c r="H539" s="59"/>
      <c r="I539" s="59"/>
      <c r="J539" s="59"/>
      <c r="K539" s="59"/>
      <c r="L539" s="59"/>
      <c r="M539" s="59"/>
      <c r="N539" s="59"/>
    </row>
    <row r="540" spans="1:14" s="10" customFormat="1" outlineLevel="1" x14ac:dyDescent="0.2">
      <c r="A540" s="51" t="s">
        <v>153</v>
      </c>
      <c r="B540" s="47" t="s">
        <v>261</v>
      </c>
      <c r="C540" s="40" t="s">
        <v>111</v>
      </c>
      <c r="D540" s="50"/>
      <c r="E540" s="50"/>
      <c r="F540" s="15">
        <f t="shared" si="54"/>
        <v>0</v>
      </c>
      <c r="G540" s="62"/>
      <c r="H540" s="59"/>
      <c r="I540" s="59"/>
      <c r="J540" s="59"/>
      <c r="K540" s="59"/>
      <c r="L540" s="59"/>
      <c r="M540" s="59"/>
      <c r="N540" s="59"/>
    </row>
    <row r="541" spans="1:14" s="10" customFormat="1" outlineLevel="1" x14ac:dyDescent="0.2">
      <c r="A541" s="51" t="s">
        <v>155</v>
      </c>
      <c r="B541" s="47" t="s">
        <v>262</v>
      </c>
      <c r="C541" s="40" t="s">
        <v>111</v>
      </c>
      <c r="D541" s="50"/>
      <c r="E541" s="50"/>
      <c r="F541" s="15">
        <f t="shared" si="54"/>
        <v>0</v>
      </c>
      <c r="G541" s="62"/>
      <c r="H541" s="59"/>
      <c r="I541" s="59"/>
      <c r="J541" s="59"/>
      <c r="K541" s="59"/>
      <c r="L541" s="59"/>
      <c r="M541" s="59"/>
      <c r="N541" s="59"/>
    </row>
    <row r="542" spans="1:14" s="10" customFormat="1" outlineLevel="1" x14ac:dyDescent="0.2">
      <c r="A542" s="51" t="s">
        <v>156</v>
      </c>
      <c r="B542" s="47" t="s">
        <v>263</v>
      </c>
      <c r="C542" s="40" t="s">
        <v>111</v>
      </c>
      <c r="D542" s="50"/>
      <c r="E542" s="50"/>
      <c r="F542" s="15">
        <f t="shared" si="54"/>
        <v>0</v>
      </c>
      <c r="G542" s="62"/>
      <c r="H542" s="59"/>
      <c r="I542" s="59"/>
      <c r="J542" s="59"/>
      <c r="K542" s="59"/>
      <c r="L542" s="59"/>
      <c r="M542" s="59"/>
      <c r="N542" s="59"/>
    </row>
    <row r="543" spans="1:14" s="10" customFormat="1" outlineLevel="1" x14ac:dyDescent="0.2">
      <c r="A543" s="51" t="s">
        <v>158</v>
      </c>
      <c r="B543" s="47" t="s">
        <v>264</v>
      </c>
      <c r="C543" s="40" t="s">
        <v>111</v>
      </c>
      <c r="D543" s="50"/>
      <c r="E543" s="50"/>
      <c r="F543" s="15">
        <f t="shared" si="54"/>
        <v>0</v>
      </c>
      <c r="G543" s="62"/>
      <c r="H543" s="59"/>
      <c r="I543" s="59"/>
      <c r="J543" s="59"/>
      <c r="K543" s="59"/>
      <c r="L543" s="59"/>
      <c r="M543" s="59"/>
      <c r="N543" s="59"/>
    </row>
    <row r="544" spans="1:14" s="10" customFormat="1" outlineLevel="1" x14ac:dyDescent="0.2">
      <c r="A544" s="34" t="s">
        <v>160</v>
      </c>
      <c r="B544" s="47" t="s">
        <v>265</v>
      </c>
      <c r="C544" s="40" t="s">
        <v>111</v>
      </c>
      <c r="D544" s="50"/>
      <c r="E544" s="50"/>
      <c r="F544" s="15">
        <f t="shared" si="54"/>
        <v>0</v>
      </c>
      <c r="G544" s="62"/>
      <c r="H544" s="59"/>
      <c r="I544" s="59"/>
      <c r="J544" s="59"/>
      <c r="K544" s="59"/>
      <c r="L544" s="59"/>
      <c r="M544" s="59"/>
      <c r="N544" s="59"/>
    </row>
    <row r="545" spans="1:14" s="10" customFormat="1" outlineLevel="1" x14ac:dyDescent="0.2">
      <c r="A545" s="34" t="s">
        <v>161</v>
      </c>
      <c r="B545" s="47" t="s">
        <v>266</v>
      </c>
      <c r="C545" s="40" t="s">
        <v>111</v>
      </c>
      <c r="D545" s="50"/>
      <c r="E545" s="50"/>
      <c r="F545" s="15">
        <f t="shared" si="54"/>
        <v>0</v>
      </c>
      <c r="G545" s="62"/>
      <c r="H545" s="59"/>
      <c r="I545" s="59"/>
      <c r="J545" s="59"/>
      <c r="K545" s="59"/>
      <c r="L545" s="59"/>
      <c r="M545" s="59"/>
      <c r="N545" s="59"/>
    </row>
    <row r="546" spans="1:14" s="10" customFormat="1" outlineLevel="1" x14ac:dyDescent="0.2">
      <c r="A546" s="34" t="s">
        <v>163</v>
      </c>
      <c r="B546" s="47" t="s">
        <v>267</v>
      </c>
      <c r="C546" s="40" t="s">
        <v>111</v>
      </c>
      <c r="D546" s="50"/>
      <c r="E546" s="50"/>
      <c r="F546" s="15">
        <f t="shared" si="54"/>
        <v>0</v>
      </c>
      <c r="G546" s="62"/>
      <c r="H546" s="59"/>
      <c r="I546" s="59"/>
      <c r="J546" s="59"/>
      <c r="K546" s="59"/>
      <c r="L546" s="59"/>
      <c r="M546" s="59"/>
      <c r="N546" s="59"/>
    </row>
    <row r="547" spans="1:14" s="10" customFormat="1" outlineLevel="1" x14ac:dyDescent="0.2">
      <c r="A547" s="51" t="s">
        <v>165</v>
      </c>
      <c r="B547" s="47" t="s">
        <v>268</v>
      </c>
      <c r="C547" s="40" t="s">
        <v>111</v>
      </c>
      <c r="D547" s="50"/>
      <c r="E547" s="50"/>
      <c r="F547" s="15">
        <f t="shared" si="54"/>
        <v>0</v>
      </c>
      <c r="G547" s="62"/>
      <c r="H547" s="59"/>
      <c r="I547" s="59"/>
      <c r="J547" s="59"/>
      <c r="K547" s="59"/>
      <c r="L547" s="59"/>
      <c r="M547" s="59"/>
      <c r="N547" s="59"/>
    </row>
    <row r="548" spans="1:14" s="10" customFormat="1" outlineLevel="1" x14ac:dyDescent="0.2">
      <c r="A548" s="51" t="s">
        <v>178</v>
      </c>
      <c r="B548" s="47" t="s">
        <v>269</v>
      </c>
      <c r="C548" s="40" t="s">
        <v>111</v>
      </c>
      <c r="D548" s="50"/>
      <c r="E548" s="50"/>
      <c r="F548" s="15">
        <f t="shared" si="54"/>
        <v>0</v>
      </c>
      <c r="G548" s="58"/>
      <c r="H548" s="59"/>
      <c r="I548" s="59"/>
      <c r="J548" s="59"/>
      <c r="K548" s="59"/>
      <c r="L548" s="59"/>
      <c r="M548" s="59"/>
      <c r="N548" s="59"/>
    </row>
    <row r="549" spans="1:14" s="10" customFormat="1" outlineLevel="1" x14ac:dyDescent="0.2">
      <c r="A549" s="51" t="s">
        <v>180</v>
      </c>
      <c r="B549" s="47" t="s">
        <v>270</v>
      </c>
      <c r="C549" s="40" t="s">
        <v>111</v>
      </c>
      <c r="D549" s="50"/>
      <c r="E549" s="50"/>
      <c r="F549" s="15">
        <f t="shared" si="54"/>
        <v>0</v>
      </c>
      <c r="G549" s="58"/>
      <c r="H549" s="59"/>
      <c r="I549" s="59"/>
      <c r="J549" s="59"/>
      <c r="K549" s="59"/>
      <c r="L549" s="59"/>
      <c r="M549" s="59"/>
      <c r="N549" s="59"/>
    </row>
    <row r="550" spans="1:14" s="10" customFormat="1" outlineLevel="1" x14ac:dyDescent="0.2">
      <c r="A550" s="51" t="s">
        <v>112</v>
      </c>
      <c r="B550" s="47" t="s">
        <v>271</v>
      </c>
      <c r="C550" s="40" t="s">
        <v>111</v>
      </c>
      <c r="D550" s="50"/>
      <c r="E550" s="50"/>
      <c r="F550" s="15">
        <f t="shared" si="54"/>
        <v>0</v>
      </c>
      <c r="G550" s="58"/>
      <c r="H550" s="59"/>
      <c r="I550" s="59"/>
      <c r="J550" s="59"/>
      <c r="K550" s="59"/>
      <c r="L550" s="59"/>
      <c r="M550" s="59"/>
      <c r="N550" s="59"/>
    </row>
    <row r="551" spans="1:14" s="10" customFormat="1" outlineLevel="1" x14ac:dyDescent="0.2">
      <c r="A551" s="51" t="s">
        <v>183</v>
      </c>
      <c r="B551" s="47" t="s">
        <v>272</v>
      </c>
      <c r="C551" s="40" t="s">
        <v>111</v>
      </c>
      <c r="D551" s="50"/>
      <c r="E551" s="50"/>
      <c r="F551" s="15">
        <f t="shared" si="54"/>
        <v>0</v>
      </c>
      <c r="G551" s="58"/>
      <c r="H551" s="59"/>
      <c r="I551" s="59"/>
      <c r="J551" s="59"/>
      <c r="K551" s="59"/>
      <c r="L551" s="59"/>
      <c r="M551" s="59"/>
      <c r="N551" s="59"/>
    </row>
    <row r="552" spans="1:14" s="10" customFormat="1" outlineLevel="1" x14ac:dyDescent="0.2">
      <c r="A552" s="51" t="s">
        <v>185</v>
      </c>
      <c r="B552" s="47" t="s">
        <v>273</v>
      </c>
      <c r="C552" s="40" t="s">
        <v>111</v>
      </c>
      <c r="D552" s="50"/>
      <c r="E552" s="50"/>
      <c r="F552" s="15">
        <f t="shared" si="54"/>
        <v>0</v>
      </c>
      <c r="G552" s="58"/>
      <c r="H552" s="59"/>
      <c r="I552" s="59"/>
      <c r="J552" s="59"/>
      <c r="K552" s="59"/>
      <c r="L552" s="59"/>
      <c r="M552" s="59"/>
      <c r="N552" s="59"/>
    </row>
    <row r="553" spans="1:14" s="10" customFormat="1" ht="28.5" outlineLevel="1" x14ac:dyDescent="0.2">
      <c r="A553" s="34" t="s">
        <v>187</v>
      </c>
      <c r="B553" s="47" t="s">
        <v>43</v>
      </c>
      <c r="C553" s="40" t="s">
        <v>429</v>
      </c>
      <c r="D553" s="50"/>
      <c r="E553" s="50"/>
      <c r="F553" s="15">
        <f t="shared" si="54"/>
        <v>0</v>
      </c>
      <c r="G553" s="58"/>
      <c r="H553" s="59"/>
      <c r="I553" s="59"/>
      <c r="J553" s="59"/>
      <c r="K553" s="59"/>
      <c r="L553" s="59"/>
      <c r="M553" s="59"/>
      <c r="N553" s="59"/>
    </row>
    <row r="554" spans="1:14" s="10" customFormat="1" ht="60" outlineLevel="1" x14ac:dyDescent="0.2">
      <c r="A554" s="67">
        <v>10.7</v>
      </c>
      <c r="B554" s="116" t="s">
        <v>274</v>
      </c>
      <c r="C554" s="35" t="s">
        <v>429</v>
      </c>
      <c r="D554" s="50"/>
      <c r="E554" s="50"/>
      <c r="F554" s="15">
        <f t="shared" si="54"/>
        <v>0</v>
      </c>
      <c r="G554" s="58"/>
      <c r="H554" s="59"/>
      <c r="I554" s="59"/>
      <c r="J554" s="59"/>
      <c r="K554" s="59"/>
      <c r="L554" s="59"/>
      <c r="M554" s="59"/>
      <c r="N554" s="59"/>
    </row>
    <row r="555" spans="1:14" s="10" customFormat="1" ht="30" outlineLevel="1" x14ac:dyDescent="0.2">
      <c r="A555" s="67">
        <v>10.8</v>
      </c>
      <c r="B555" s="116" t="s">
        <v>275</v>
      </c>
      <c r="C555" s="35" t="s">
        <v>429</v>
      </c>
      <c r="D555" s="50"/>
      <c r="E555" s="50"/>
      <c r="F555" s="15">
        <f t="shared" si="54"/>
        <v>0</v>
      </c>
      <c r="G555" s="58"/>
      <c r="H555" s="59"/>
      <c r="I555" s="59"/>
      <c r="J555" s="59"/>
      <c r="K555" s="59"/>
      <c r="L555" s="59"/>
      <c r="M555" s="59"/>
      <c r="N555" s="59"/>
    </row>
    <row r="556" spans="1:14" s="10" customFormat="1" ht="45" outlineLevel="1" x14ac:dyDescent="0.2">
      <c r="A556" s="67">
        <v>10.9</v>
      </c>
      <c r="B556" s="116" t="s">
        <v>44</v>
      </c>
      <c r="C556" s="35" t="s">
        <v>429</v>
      </c>
      <c r="D556" s="50"/>
      <c r="E556" s="50"/>
      <c r="F556" s="15">
        <f t="shared" si="54"/>
        <v>0</v>
      </c>
      <c r="G556" s="58"/>
      <c r="H556" s="59"/>
      <c r="I556" s="59"/>
      <c r="J556" s="59"/>
      <c r="K556" s="59"/>
      <c r="L556" s="59"/>
      <c r="M556" s="59"/>
      <c r="N556" s="59"/>
    </row>
    <row r="557" spans="1:14" s="10" customFormat="1" ht="105" outlineLevel="1" x14ac:dyDescent="0.2">
      <c r="A557" s="67">
        <v>10.1</v>
      </c>
      <c r="B557" s="116" t="s">
        <v>276</v>
      </c>
      <c r="C557" s="35"/>
      <c r="D557" s="50"/>
      <c r="E557" s="50"/>
      <c r="F557" s="15">
        <f t="shared" si="54"/>
        <v>0</v>
      </c>
      <c r="G557" s="58"/>
      <c r="H557" s="59"/>
      <c r="I557" s="59"/>
      <c r="J557" s="59"/>
      <c r="K557" s="59"/>
      <c r="L557" s="59"/>
      <c r="M557" s="59"/>
      <c r="N557" s="59"/>
    </row>
    <row r="558" spans="1:14" s="10" customFormat="1" outlineLevel="1" x14ac:dyDescent="0.2">
      <c r="A558" s="51" t="s">
        <v>149</v>
      </c>
      <c r="B558" s="47" t="s">
        <v>277</v>
      </c>
      <c r="C558" s="40" t="s">
        <v>111</v>
      </c>
      <c r="D558" s="50"/>
      <c r="E558" s="50"/>
      <c r="F558" s="15">
        <f t="shared" si="54"/>
        <v>0</v>
      </c>
      <c r="G558" s="58"/>
      <c r="H558" s="59"/>
      <c r="I558" s="59"/>
      <c r="J558" s="59"/>
      <c r="K558" s="59"/>
      <c r="L558" s="59"/>
      <c r="M558" s="59"/>
      <c r="N558" s="59"/>
    </row>
    <row r="559" spans="1:14" s="10" customFormat="1" outlineLevel="1" x14ac:dyDescent="0.2">
      <c r="A559" s="51" t="s">
        <v>151</v>
      </c>
      <c r="B559" s="47" t="s">
        <v>278</v>
      </c>
      <c r="C559" s="40" t="s">
        <v>385</v>
      </c>
      <c r="D559" s="50"/>
      <c r="E559" s="50"/>
      <c r="F559" s="15">
        <f t="shared" si="54"/>
        <v>0</v>
      </c>
      <c r="G559" s="58"/>
      <c r="H559" s="59"/>
      <c r="I559" s="59"/>
      <c r="J559" s="59"/>
      <c r="K559" s="59"/>
      <c r="L559" s="59"/>
      <c r="M559" s="59"/>
      <c r="N559" s="59"/>
    </row>
    <row r="560" spans="1:14" s="42" customFormat="1" outlineLevel="1" x14ac:dyDescent="0.2">
      <c r="A560" s="34">
        <v>10.11</v>
      </c>
      <c r="B560" s="37" t="s">
        <v>279</v>
      </c>
      <c r="C560" s="35"/>
      <c r="D560" s="50"/>
      <c r="E560" s="50"/>
      <c r="F560" s="15">
        <f t="shared" si="54"/>
        <v>0</v>
      </c>
      <c r="G560" s="68"/>
      <c r="H560" s="69"/>
      <c r="I560" s="69"/>
      <c r="J560" s="69"/>
      <c r="K560" s="69"/>
      <c r="L560" s="69"/>
      <c r="M560" s="69"/>
      <c r="N560" s="69"/>
    </row>
    <row r="561" spans="1:14" s="10" customFormat="1" outlineLevel="1" x14ac:dyDescent="0.2">
      <c r="A561" s="34" t="s">
        <v>149</v>
      </c>
      <c r="B561" s="128" t="s">
        <v>45</v>
      </c>
      <c r="C561" s="35" t="s">
        <v>429</v>
      </c>
      <c r="D561" s="50"/>
      <c r="E561" s="50"/>
      <c r="F561" s="15">
        <f t="shared" si="54"/>
        <v>0</v>
      </c>
      <c r="G561" s="58"/>
      <c r="H561" s="59"/>
      <c r="I561" s="59"/>
      <c r="J561" s="59"/>
      <c r="K561" s="59"/>
      <c r="L561" s="59"/>
      <c r="M561" s="59"/>
      <c r="N561" s="59"/>
    </row>
    <row r="562" spans="1:14" s="10" customFormat="1" ht="28.5" outlineLevel="1" x14ac:dyDescent="0.2">
      <c r="A562" s="34" t="s">
        <v>151</v>
      </c>
      <c r="B562" s="128" t="s">
        <v>46</v>
      </c>
      <c r="C562" s="40" t="s">
        <v>429</v>
      </c>
      <c r="D562" s="50"/>
      <c r="E562" s="50"/>
      <c r="F562" s="15">
        <f t="shared" si="54"/>
        <v>0</v>
      </c>
      <c r="G562" s="58"/>
      <c r="H562" s="59"/>
      <c r="I562" s="59"/>
      <c r="J562" s="59"/>
      <c r="K562" s="59"/>
      <c r="L562" s="59"/>
      <c r="M562" s="59"/>
      <c r="N562" s="59"/>
    </row>
    <row r="563" spans="1:14" s="10" customFormat="1" outlineLevel="1" x14ac:dyDescent="0.2">
      <c r="A563" s="34">
        <v>10.119999999999999</v>
      </c>
      <c r="B563" s="37" t="s">
        <v>280</v>
      </c>
      <c r="C563" s="63"/>
      <c r="D563" s="50"/>
      <c r="E563" s="50"/>
      <c r="F563" s="15">
        <f t="shared" si="54"/>
        <v>0</v>
      </c>
      <c r="G563" s="58"/>
      <c r="H563" s="59"/>
      <c r="I563" s="59"/>
      <c r="J563" s="59"/>
      <c r="K563" s="59"/>
      <c r="L563" s="59"/>
      <c r="M563" s="59"/>
      <c r="N563" s="59"/>
    </row>
    <row r="564" spans="1:14" s="10" customFormat="1" outlineLevel="1" x14ac:dyDescent="0.2">
      <c r="A564" s="43" t="s">
        <v>149</v>
      </c>
      <c r="B564" s="47" t="s">
        <v>281</v>
      </c>
      <c r="C564" s="40" t="s">
        <v>385</v>
      </c>
      <c r="D564" s="50"/>
      <c r="E564" s="50"/>
      <c r="F564" s="15">
        <f t="shared" si="54"/>
        <v>0</v>
      </c>
      <c r="G564" s="58"/>
      <c r="H564" s="59"/>
      <c r="I564" s="59"/>
      <c r="J564" s="59"/>
      <c r="K564" s="59"/>
      <c r="L564" s="59"/>
      <c r="M564" s="59"/>
      <c r="N564" s="59"/>
    </row>
    <row r="565" spans="1:14" s="10" customFormat="1" outlineLevel="1" x14ac:dyDescent="0.2">
      <c r="A565" s="43" t="s">
        <v>151</v>
      </c>
      <c r="B565" s="47" t="s">
        <v>282</v>
      </c>
      <c r="C565" s="40" t="s">
        <v>385</v>
      </c>
      <c r="D565" s="50"/>
      <c r="E565" s="50"/>
      <c r="F565" s="15">
        <f t="shared" si="54"/>
        <v>0</v>
      </c>
      <c r="G565" s="58"/>
      <c r="H565" s="59"/>
      <c r="I565" s="59"/>
      <c r="J565" s="59"/>
      <c r="K565" s="59"/>
      <c r="L565" s="59"/>
      <c r="M565" s="59"/>
      <c r="N565" s="59"/>
    </row>
    <row r="566" spans="1:14" s="10" customFormat="1" outlineLevel="1" x14ac:dyDescent="0.2">
      <c r="A566" s="43" t="s">
        <v>153</v>
      </c>
      <c r="B566" s="47" t="s">
        <v>283</v>
      </c>
      <c r="C566" s="40" t="s">
        <v>385</v>
      </c>
      <c r="D566" s="50"/>
      <c r="E566" s="50"/>
      <c r="F566" s="15">
        <f t="shared" si="54"/>
        <v>0</v>
      </c>
      <c r="G566" s="58"/>
      <c r="H566" s="59"/>
      <c r="I566" s="59"/>
      <c r="J566" s="59"/>
      <c r="K566" s="59"/>
      <c r="L566" s="59"/>
      <c r="M566" s="59"/>
      <c r="N566" s="59"/>
    </row>
    <row r="567" spans="1:14" s="10" customFormat="1" outlineLevel="1" x14ac:dyDescent="0.2">
      <c r="A567" s="43" t="s">
        <v>155</v>
      </c>
      <c r="B567" s="47" t="s">
        <v>284</v>
      </c>
      <c r="C567" s="40" t="s">
        <v>385</v>
      </c>
      <c r="D567" s="50"/>
      <c r="E567" s="50"/>
      <c r="F567" s="15">
        <f t="shared" si="54"/>
        <v>0</v>
      </c>
      <c r="G567" s="58"/>
      <c r="H567" s="59"/>
      <c r="I567" s="59"/>
      <c r="J567" s="59"/>
      <c r="K567" s="59"/>
      <c r="L567" s="59"/>
      <c r="M567" s="59"/>
      <c r="N567" s="59"/>
    </row>
    <row r="568" spans="1:14" outlineLevel="1" x14ac:dyDescent="0.2">
      <c r="A568" s="43" t="s">
        <v>156</v>
      </c>
      <c r="B568" s="47" t="s">
        <v>285</v>
      </c>
      <c r="C568" s="40" t="s">
        <v>385</v>
      </c>
      <c r="D568" s="50"/>
      <c r="E568" s="50"/>
      <c r="F568" s="15">
        <f t="shared" si="54"/>
        <v>0</v>
      </c>
      <c r="G568" s="70"/>
      <c r="H568" s="71"/>
      <c r="I568" s="71"/>
      <c r="J568" s="71"/>
      <c r="K568" s="71"/>
      <c r="L568" s="71"/>
      <c r="M568" s="71"/>
      <c r="N568" s="71"/>
    </row>
    <row r="569" spans="1:14" ht="28.5" outlineLevel="1" x14ac:dyDescent="0.2">
      <c r="A569" s="43" t="s">
        <v>158</v>
      </c>
      <c r="B569" s="47" t="s">
        <v>286</v>
      </c>
      <c r="C569" s="40" t="s">
        <v>385</v>
      </c>
      <c r="D569" s="50"/>
      <c r="E569" s="50"/>
      <c r="F569" s="15">
        <f t="shared" si="54"/>
        <v>0</v>
      </c>
      <c r="G569" s="70"/>
      <c r="H569" s="71"/>
      <c r="I569" s="71"/>
      <c r="J569" s="71"/>
      <c r="K569" s="71"/>
      <c r="L569" s="71"/>
      <c r="M569" s="71"/>
      <c r="N569" s="71"/>
    </row>
    <row r="570" spans="1:14" s="54" customFormat="1" ht="28.5" outlineLevel="1" x14ac:dyDescent="0.2">
      <c r="A570" s="43" t="s">
        <v>160</v>
      </c>
      <c r="B570" s="47" t="s">
        <v>287</v>
      </c>
      <c r="C570" s="40" t="s">
        <v>385</v>
      </c>
      <c r="D570" s="50"/>
      <c r="E570" s="50"/>
      <c r="F570" s="15">
        <f t="shared" si="54"/>
        <v>0</v>
      </c>
      <c r="G570" s="53"/>
    </row>
    <row r="571" spans="1:14" s="54" customFormat="1" outlineLevel="1" x14ac:dyDescent="0.2">
      <c r="A571" s="43" t="s">
        <v>161</v>
      </c>
      <c r="B571" s="47" t="s">
        <v>288</v>
      </c>
      <c r="C571" s="40" t="s">
        <v>385</v>
      </c>
      <c r="D571" s="50"/>
      <c r="E571" s="50"/>
      <c r="F571" s="15">
        <f t="shared" si="54"/>
        <v>0</v>
      </c>
      <c r="G571" s="53"/>
    </row>
    <row r="572" spans="1:14" s="42" customFormat="1" ht="28.5" outlineLevel="1" x14ac:dyDescent="0.2">
      <c r="A572" s="43" t="s">
        <v>163</v>
      </c>
      <c r="B572" s="47" t="s">
        <v>289</v>
      </c>
      <c r="C572" s="40" t="s">
        <v>385</v>
      </c>
      <c r="D572" s="50"/>
      <c r="E572" s="50"/>
      <c r="F572" s="15">
        <f t="shared" si="54"/>
        <v>0</v>
      </c>
      <c r="G572" s="72"/>
    </row>
    <row r="573" spans="1:14" s="54" customFormat="1" ht="60" outlineLevel="1" x14ac:dyDescent="0.2">
      <c r="A573" s="34">
        <v>10.130000000000001</v>
      </c>
      <c r="B573" s="116" t="s">
        <v>290</v>
      </c>
      <c r="C573" s="63"/>
      <c r="D573" s="50"/>
      <c r="E573" s="50"/>
      <c r="F573" s="15">
        <f t="shared" si="54"/>
        <v>0</v>
      </c>
      <c r="G573" s="53"/>
    </row>
    <row r="574" spans="1:14" s="54" customFormat="1" ht="85.5" outlineLevel="1" x14ac:dyDescent="0.2">
      <c r="A574" s="43" t="s">
        <v>149</v>
      </c>
      <c r="B574" s="128" t="s">
        <v>291</v>
      </c>
      <c r="C574" s="40" t="s">
        <v>429</v>
      </c>
      <c r="D574" s="50"/>
      <c r="E574" s="50"/>
      <c r="F574" s="15">
        <f t="shared" si="54"/>
        <v>0</v>
      </c>
      <c r="G574" s="53"/>
    </row>
    <row r="575" spans="1:14" s="54" customFormat="1" outlineLevel="1" x14ac:dyDescent="0.2">
      <c r="A575" s="43">
        <v>10.14</v>
      </c>
      <c r="B575" s="37" t="s">
        <v>47</v>
      </c>
      <c r="C575" s="63"/>
      <c r="D575" s="50"/>
      <c r="E575" s="50"/>
      <c r="F575" s="15">
        <f t="shared" si="54"/>
        <v>0</v>
      </c>
      <c r="G575" s="53"/>
    </row>
    <row r="576" spans="1:14" s="54" customFormat="1" outlineLevel="1" x14ac:dyDescent="0.2">
      <c r="A576" s="34" t="s">
        <v>149</v>
      </c>
      <c r="B576" s="47" t="s">
        <v>48</v>
      </c>
      <c r="C576" s="35" t="s">
        <v>429</v>
      </c>
      <c r="D576" s="50"/>
      <c r="E576" s="50"/>
      <c r="F576" s="15">
        <f t="shared" si="54"/>
        <v>0</v>
      </c>
      <c r="G576" s="53"/>
    </row>
    <row r="577" spans="1:7" s="54" customFormat="1" outlineLevel="1" x14ac:dyDescent="0.2">
      <c r="A577" s="73" t="s">
        <v>151</v>
      </c>
      <c r="B577" s="47" t="s">
        <v>49</v>
      </c>
      <c r="C577" s="24" t="s">
        <v>429</v>
      </c>
      <c r="D577" s="52"/>
      <c r="E577" s="52"/>
      <c r="F577" s="15">
        <f t="shared" si="54"/>
        <v>0</v>
      </c>
      <c r="G577" s="53"/>
    </row>
    <row r="578" spans="1:7" s="54" customFormat="1" outlineLevel="1" x14ac:dyDescent="0.2">
      <c r="A578" s="73" t="s">
        <v>153</v>
      </c>
      <c r="B578" s="47" t="s">
        <v>292</v>
      </c>
      <c r="C578" s="24" t="s">
        <v>429</v>
      </c>
      <c r="D578" s="52"/>
      <c r="E578" s="52"/>
      <c r="F578" s="15">
        <f t="shared" si="54"/>
        <v>0</v>
      </c>
      <c r="G578" s="53"/>
    </row>
    <row r="579" spans="1:7" s="54" customFormat="1" outlineLevel="1" x14ac:dyDescent="0.2">
      <c r="A579" s="73" t="s">
        <v>155</v>
      </c>
      <c r="B579" s="47" t="s">
        <v>293</v>
      </c>
      <c r="C579" s="24" t="s">
        <v>429</v>
      </c>
      <c r="D579" s="52"/>
      <c r="E579" s="52"/>
      <c r="F579" s="15">
        <f t="shared" ref="F579:F642" si="55">IFERROR(E579*D579,0)</f>
        <v>0</v>
      </c>
      <c r="G579" s="53"/>
    </row>
    <row r="580" spans="1:7" s="54" customFormat="1" outlineLevel="1" x14ac:dyDescent="0.2">
      <c r="A580" s="73">
        <v>10.15</v>
      </c>
      <c r="B580" s="37" t="s">
        <v>294</v>
      </c>
      <c r="C580" s="24"/>
      <c r="D580" s="52"/>
      <c r="E580" s="52"/>
      <c r="F580" s="15">
        <f t="shared" si="55"/>
        <v>0</v>
      </c>
      <c r="G580" s="53"/>
    </row>
    <row r="581" spans="1:7" s="54" customFormat="1" outlineLevel="1" x14ac:dyDescent="0.2">
      <c r="A581" s="73" t="s">
        <v>149</v>
      </c>
      <c r="B581" s="47" t="s">
        <v>295</v>
      </c>
      <c r="C581" s="24" t="s">
        <v>385</v>
      </c>
      <c r="D581" s="52"/>
      <c r="E581" s="52"/>
      <c r="F581" s="15">
        <f t="shared" si="55"/>
        <v>0</v>
      </c>
      <c r="G581" s="53"/>
    </row>
    <row r="582" spans="1:7" s="10" customFormat="1" outlineLevel="1" x14ac:dyDescent="0.2">
      <c r="A582" s="73" t="s">
        <v>151</v>
      </c>
      <c r="B582" s="47" t="s">
        <v>296</v>
      </c>
      <c r="C582" s="24" t="s">
        <v>385</v>
      </c>
      <c r="D582" s="52"/>
      <c r="E582" s="52"/>
      <c r="F582" s="15">
        <f t="shared" si="55"/>
        <v>0</v>
      </c>
      <c r="G582" s="36"/>
    </row>
    <row r="583" spans="1:7" s="10" customFormat="1" outlineLevel="1" x14ac:dyDescent="0.2">
      <c r="A583" s="73" t="s">
        <v>153</v>
      </c>
      <c r="B583" s="47" t="s">
        <v>297</v>
      </c>
      <c r="C583" s="24" t="s">
        <v>385</v>
      </c>
      <c r="D583" s="52"/>
      <c r="E583" s="52"/>
      <c r="F583" s="15">
        <f t="shared" si="55"/>
        <v>0</v>
      </c>
      <c r="G583" s="74"/>
    </row>
    <row r="584" spans="1:7" s="10" customFormat="1" outlineLevel="1" x14ac:dyDescent="0.2">
      <c r="A584" s="73" t="s">
        <v>155</v>
      </c>
      <c r="B584" s="47" t="s">
        <v>298</v>
      </c>
      <c r="C584" s="24" t="s">
        <v>385</v>
      </c>
      <c r="D584" s="52"/>
      <c r="E584" s="52"/>
      <c r="F584" s="15">
        <f t="shared" si="55"/>
        <v>0</v>
      </c>
      <c r="G584" s="74"/>
    </row>
    <row r="585" spans="1:7" s="10" customFormat="1" outlineLevel="1" x14ac:dyDescent="0.2">
      <c r="A585" s="73" t="s">
        <v>156</v>
      </c>
      <c r="B585" s="47" t="s">
        <v>299</v>
      </c>
      <c r="C585" s="24" t="s">
        <v>385</v>
      </c>
      <c r="D585" s="52"/>
      <c r="E585" s="52"/>
      <c r="F585" s="15">
        <f t="shared" si="55"/>
        <v>0</v>
      </c>
      <c r="G585" s="74"/>
    </row>
    <row r="586" spans="1:7" s="10" customFormat="1" outlineLevel="1" x14ac:dyDescent="0.2">
      <c r="A586" s="73" t="s">
        <v>158</v>
      </c>
      <c r="B586" s="47" t="s">
        <v>300</v>
      </c>
      <c r="C586" s="24" t="s">
        <v>385</v>
      </c>
      <c r="D586" s="52"/>
      <c r="E586" s="52"/>
      <c r="F586" s="15">
        <f t="shared" si="55"/>
        <v>0</v>
      </c>
      <c r="G586" s="74"/>
    </row>
    <row r="587" spans="1:7" s="10" customFormat="1" outlineLevel="1" x14ac:dyDescent="0.2">
      <c r="A587" s="76" t="s">
        <v>160</v>
      </c>
      <c r="B587" s="47" t="s">
        <v>301</v>
      </c>
      <c r="C587" s="75" t="s">
        <v>385</v>
      </c>
      <c r="D587" s="52"/>
      <c r="E587" s="52"/>
      <c r="F587" s="15">
        <f t="shared" si="55"/>
        <v>0</v>
      </c>
      <c r="G587" s="74"/>
    </row>
    <row r="588" spans="1:7" s="10" customFormat="1" outlineLevel="1" x14ac:dyDescent="0.2">
      <c r="A588" s="76" t="s">
        <v>161</v>
      </c>
      <c r="B588" s="47" t="s">
        <v>302</v>
      </c>
      <c r="C588" s="75" t="s">
        <v>385</v>
      </c>
      <c r="D588" s="52"/>
      <c r="E588" s="52"/>
      <c r="F588" s="15">
        <f t="shared" si="55"/>
        <v>0</v>
      </c>
      <c r="G588" s="74"/>
    </row>
    <row r="589" spans="1:7" s="10" customFormat="1" outlineLevel="1" x14ac:dyDescent="0.2">
      <c r="A589" s="76">
        <v>10.16</v>
      </c>
      <c r="B589" s="37" t="s">
        <v>50</v>
      </c>
      <c r="C589" s="75"/>
      <c r="D589" s="52"/>
      <c r="E589" s="52"/>
      <c r="F589" s="15">
        <f t="shared" si="55"/>
        <v>0</v>
      </c>
      <c r="G589" s="74"/>
    </row>
    <row r="590" spans="1:7" ht="42.75" outlineLevel="1" x14ac:dyDescent="0.2">
      <c r="A590" s="76" t="s">
        <v>149</v>
      </c>
      <c r="B590" s="47" t="s">
        <v>92</v>
      </c>
      <c r="C590" s="75" t="s">
        <v>429</v>
      </c>
      <c r="D590" s="52"/>
      <c r="E590" s="52"/>
      <c r="F590" s="15">
        <f t="shared" si="55"/>
        <v>0</v>
      </c>
      <c r="G590" s="77"/>
    </row>
    <row r="591" spans="1:7" ht="28.5" outlineLevel="1" x14ac:dyDescent="0.2">
      <c r="A591" s="73" t="s">
        <v>151</v>
      </c>
      <c r="B591" s="47" t="s">
        <v>51</v>
      </c>
      <c r="C591" s="24" t="s">
        <v>429</v>
      </c>
      <c r="D591" s="52"/>
      <c r="E591" s="52"/>
      <c r="F591" s="15">
        <f t="shared" si="55"/>
        <v>0</v>
      </c>
      <c r="G591" s="78"/>
    </row>
    <row r="592" spans="1:7" s="10" customFormat="1" ht="28.5" outlineLevel="1" x14ac:dyDescent="0.2">
      <c r="A592" s="73" t="s">
        <v>153</v>
      </c>
      <c r="B592" s="47" t="s">
        <v>52</v>
      </c>
      <c r="C592" s="24" t="s">
        <v>429</v>
      </c>
      <c r="D592" s="52"/>
      <c r="E592" s="52"/>
      <c r="F592" s="15">
        <f t="shared" si="55"/>
        <v>0</v>
      </c>
      <c r="G592" s="78"/>
    </row>
    <row r="593" spans="1:14" s="10" customFormat="1" ht="90" outlineLevel="1" x14ac:dyDescent="0.2">
      <c r="A593" s="73">
        <v>10.17</v>
      </c>
      <c r="B593" s="37" t="s">
        <v>303</v>
      </c>
      <c r="C593" s="24"/>
      <c r="D593" s="52"/>
      <c r="E593" s="52"/>
      <c r="F593" s="15">
        <f t="shared" si="55"/>
        <v>0</v>
      </c>
      <c r="G593" s="74"/>
    </row>
    <row r="594" spans="1:14" s="10" customFormat="1" ht="28.5" outlineLevel="1" x14ac:dyDescent="0.2">
      <c r="A594" s="73" t="s">
        <v>149</v>
      </c>
      <c r="B594" s="47" t="s">
        <v>304</v>
      </c>
      <c r="C594" s="24" t="s">
        <v>385</v>
      </c>
      <c r="D594" s="52"/>
      <c r="E594" s="52"/>
      <c r="F594" s="15">
        <f t="shared" si="55"/>
        <v>0</v>
      </c>
      <c r="G594" s="74"/>
    </row>
    <row r="595" spans="1:14" s="10" customFormat="1" ht="42.75" outlineLevel="1" x14ac:dyDescent="0.2">
      <c r="A595" s="73" t="s">
        <v>151</v>
      </c>
      <c r="B595" s="47" t="s">
        <v>305</v>
      </c>
      <c r="C595" s="24" t="s">
        <v>385</v>
      </c>
      <c r="D595" s="52"/>
      <c r="E595" s="52"/>
      <c r="F595" s="15">
        <f t="shared" si="55"/>
        <v>0</v>
      </c>
      <c r="G595" s="74"/>
    </row>
    <row r="596" spans="1:14" s="10" customFormat="1" ht="90" outlineLevel="1" x14ac:dyDescent="0.2">
      <c r="A596" s="73">
        <v>10.18</v>
      </c>
      <c r="B596" s="37" t="s">
        <v>306</v>
      </c>
      <c r="C596" s="24"/>
      <c r="D596" s="52"/>
      <c r="E596" s="52"/>
      <c r="F596" s="15">
        <f t="shared" si="55"/>
        <v>0</v>
      </c>
      <c r="G596" s="74"/>
    </row>
    <row r="597" spans="1:14" s="10" customFormat="1" outlineLevel="1" x14ac:dyDescent="0.2">
      <c r="A597" s="154" t="s">
        <v>149</v>
      </c>
      <c r="B597" s="47" t="s">
        <v>307</v>
      </c>
      <c r="C597" s="40" t="s">
        <v>385</v>
      </c>
      <c r="D597" s="16"/>
      <c r="E597" s="16"/>
      <c r="F597" s="15">
        <f t="shared" si="55"/>
        <v>0</v>
      </c>
      <c r="G597" s="74"/>
    </row>
    <row r="598" spans="1:14" s="10" customFormat="1" outlineLevel="1" x14ac:dyDescent="0.2">
      <c r="A598" s="154" t="s">
        <v>151</v>
      </c>
      <c r="B598" s="47" t="s">
        <v>53</v>
      </c>
      <c r="C598" s="40" t="s">
        <v>385</v>
      </c>
      <c r="D598" s="16"/>
      <c r="E598" s="16"/>
      <c r="F598" s="15">
        <f t="shared" si="55"/>
        <v>0</v>
      </c>
      <c r="G598" s="74"/>
    </row>
    <row r="599" spans="1:14" s="10" customFormat="1" ht="20.100000000000001" customHeight="1" outlineLevel="1" x14ac:dyDescent="0.2">
      <c r="A599" s="154" t="s">
        <v>153</v>
      </c>
      <c r="B599" s="47" t="s">
        <v>54</v>
      </c>
      <c r="C599" s="40" t="s">
        <v>429</v>
      </c>
      <c r="D599" s="16"/>
      <c r="E599" s="16"/>
      <c r="F599" s="15">
        <f t="shared" si="55"/>
        <v>0</v>
      </c>
      <c r="G599" s="74"/>
    </row>
    <row r="600" spans="1:14" s="10" customFormat="1" outlineLevel="1" x14ac:dyDescent="0.2">
      <c r="A600" s="43" t="s">
        <v>155</v>
      </c>
      <c r="B600" s="47" t="s">
        <v>55</v>
      </c>
      <c r="C600" s="40" t="s">
        <v>429</v>
      </c>
      <c r="D600" s="16"/>
      <c r="E600" s="16"/>
      <c r="F600" s="15">
        <f t="shared" si="55"/>
        <v>0</v>
      </c>
      <c r="G600" s="62"/>
      <c r="H600" s="59"/>
      <c r="I600" s="59"/>
      <c r="J600" s="59"/>
      <c r="K600" s="59"/>
      <c r="L600" s="59"/>
      <c r="M600" s="59"/>
      <c r="N600" s="59"/>
    </row>
    <row r="601" spans="1:14" s="10" customFormat="1" outlineLevel="1" x14ac:dyDescent="0.2">
      <c r="A601" s="43" t="s">
        <v>156</v>
      </c>
      <c r="B601" s="47" t="s">
        <v>56</v>
      </c>
      <c r="C601" s="40" t="s">
        <v>429</v>
      </c>
      <c r="D601" s="16"/>
      <c r="E601" s="16"/>
      <c r="F601" s="15">
        <f t="shared" si="55"/>
        <v>0</v>
      </c>
      <c r="G601" s="62"/>
      <c r="H601" s="59"/>
      <c r="I601" s="59"/>
      <c r="J601" s="59"/>
      <c r="K601" s="59"/>
      <c r="L601" s="59"/>
      <c r="M601" s="59"/>
      <c r="N601" s="59"/>
    </row>
    <row r="602" spans="1:14" s="54" customFormat="1" outlineLevel="1" x14ac:dyDescent="0.2">
      <c r="A602" s="154" t="s">
        <v>158</v>
      </c>
      <c r="B602" s="47" t="s">
        <v>57</v>
      </c>
      <c r="C602" s="40" t="s">
        <v>429</v>
      </c>
      <c r="D602" s="79"/>
      <c r="E602" s="79"/>
      <c r="F602" s="15">
        <f t="shared" si="55"/>
        <v>0</v>
      </c>
      <c r="G602" s="53"/>
    </row>
    <row r="603" spans="1:14" s="54" customFormat="1" ht="42.75" outlineLevel="1" x14ac:dyDescent="0.2">
      <c r="A603" s="43" t="s">
        <v>160</v>
      </c>
      <c r="B603" s="47" t="s">
        <v>308</v>
      </c>
      <c r="C603" s="40" t="s">
        <v>429</v>
      </c>
      <c r="D603" s="9"/>
      <c r="E603" s="9"/>
      <c r="F603" s="15">
        <f t="shared" si="55"/>
        <v>0</v>
      </c>
      <c r="G603" s="53"/>
    </row>
    <row r="604" spans="1:14" s="54" customFormat="1" ht="75" outlineLevel="1" x14ac:dyDescent="0.2">
      <c r="A604" s="34">
        <v>10.19</v>
      </c>
      <c r="B604" s="37" t="s">
        <v>309</v>
      </c>
      <c r="C604" s="35" t="s">
        <v>429</v>
      </c>
      <c r="D604" s="9"/>
      <c r="E604" s="80"/>
      <c r="F604" s="15">
        <f t="shared" si="55"/>
        <v>0</v>
      </c>
      <c r="G604" s="53"/>
    </row>
    <row r="605" spans="1:14" s="54" customFormat="1" ht="135" outlineLevel="1" x14ac:dyDescent="0.2">
      <c r="A605" s="34">
        <v>10.199999999999999</v>
      </c>
      <c r="B605" s="37" t="s">
        <v>310</v>
      </c>
      <c r="C605" s="35"/>
      <c r="D605" s="9"/>
      <c r="E605" s="9"/>
      <c r="F605" s="15">
        <f t="shared" si="55"/>
        <v>0</v>
      </c>
      <c r="G605" s="53"/>
    </row>
    <row r="606" spans="1:14" s="54" customFormat="1" ht="42.75" outlineLevel="1" x14ac:dyDescent="0.2">
      <c r="A606" s="34" t="s">
        <v>149</v>
      </c>
      <c r="B606" s="47" t="s">
        <v>311</v>
      </c>
      <c r="C606" s="35" t="s">
        <v>385</v>
      </c>
      <c r="D606" s="9"/>
      <c r="E606" s="80"/>
      <c r="F606" s="15">
        <f t="shared" si="55"/>
        <v>0</v>
      </c>
      <c r="G606" s="53"/>
    </row>
    <row r="607" spans="1:14" outlineLevel="1" x14ac:dyDescent="0.2">
      <c r="A607" s="34" t="s">
        <v>151</v>
      </c>
      <c r="B607" s="47" t="s">
        <v>312</v>
      </c>
      <c r="C607" s="35" t="s">
        <v>385</v>
      </c>
      <c r="D607" s="9"/>
      <c r="E607" s="80"/>
      <c r="F607" s="15">
        <f t="shared" si="55"/>
        <v>0</v>
      </c>
      <c r="G607" s="77"/>
    </row>
    <row r="608" spans="1:14" s="10" customFormat="1" ht="28.5" outlineLevel="1" x14ac:dyDescent="0.2">
      <c r="A608" s="34" t="s">
        <v>153</v>
      </c>
      <c r="B608" s="47" t="s">
        <v>313</v>
      </c>
      <c r="C608" s="35" t="s">
        <v>385</v>
      </c>
      <c r="D608" s="9"/>
      <c r="E608" s="80"/>
      <c r="F608" s="15">
        <f t="shared" si="55"/>
        <v>0</v>
      </c>
      <c r="G608" s="74"/>
    </row>
    <row r="609" spans="1:7" s="10" customFormat="1" ht="28.5" outlineLevel="1" x14ac:dyDescent="0.2">
      <c r="A609" s="34" t="s">
        <v>155</v>
      </c>
      <c r="B609" s="47" t="s">
        <v>314</v>
      </c>
      <c r="C609" s="35" t="s">
        <v>385</v>
      </c>
      <c r="D609" s="9"/>
      <c r="E609" s="80"/>
      <c r="F609" s="15">
        <f t="shared" si="55"/>
        <v>0</v>
      </c>
      <c r="G609" s="74"/>
    </row>
    <row r="610" spans="1:7" s="82" customFormat="1" ht="75" outlineLevel="1" x14ac:dyDescent="0.2">
      <c r="A610" s="34">
        <v>10.210000000000001</v>
      </c>
      <c r="B610" s="37" t="s">
        <v>315</v>
      </c>
      <c r="C610" s="35" t="s">
        <v>429</v>
      </c>
      <c r="D610" s="9"/>
      <c r="E610" s="9"/>
      <c r="F610" s="15">
        <f t="shared" si="55"/>
        <v>0</v>
      </c>
      <c r="G610" s="81"/>
    </row>
    <row r="611" spans="1:7" s="10" customFormat="1" ht="105" outlineLevel="1" x14ac:dyDescent="0.2">
      <c r="A611" s="34">
        <v>10.220000000000001</v>
      </c>
      <c r="B611" s="37" t="s">
        <v>316</v>
      </c>
      <c r="C611" s="35"/>
      <c r="D611" s="9"/>
      <c r="E611" s="80"/>
      <c r="F611" s="15">
        <f t="shared" si="55"/>
        <v>0</v>
      </c>
      <c r="G611" s="74"/>
    </row>
    <row r="612" spans="1:7" s="10" customFormat="1" ht="30" outlineLevel="1" x14ac:dyDescent="0.2">
      <c r="A612" s="83">
        <v>10.221</v>
      </c>
      <c r="B612" s="37" t="s">
        <v>317</v>
      </c>
      <c r="C612" s="84"/>
      <c r="D612" s="9"/>
      <c r="E612" s="9"/>
      <c r="F612" s="15">
        <f t="shared" si="55"/>
        <v>0</v>
      </c>
      <c r="G612" s="74"/>
    </row>
    <row r="613" spans="1:7" s="10" customFormat="1" ht="28.5" outlineLevel="1" x14ac:dyDescent="0.2">
      <c r="A613" s="73" t="s">
        <v>149</v>
      </c>
      <c r="B613" s="47" t="s">
        <v>58</v>
      </c>
      <c r="C613" s="24" t="s">
        <v>429</v>
      </c>
      <c r="D613" s="52"/>
      <c r="E613" s="85"/>
      <c r="F613" s="15">
        <f t="shared" si="55"/>
        <v>0</v>
      </c>
      <c r="G613" s="74"/>
    </row>
    <row r="614" spans="1:7" s="10" customFormat="1" outlineLevel="1" x14ac:dyDescent="0.2">
      <c r="A614" s="73" t="s">
        <v>151</v>
      </c>
      <c r="B614" s="47" t="s">
        <v>59</v>
      </c>
      <c r="C614" s="24" t="s">
        <v>429</v>
      </c>
      <c r="D614" s="52"/>
      <c r="E614" s="85"/>
      <c r="F614" s="15">
        <f t="shared" si="55"/>
        <v>0</v>
      </c>
      <c r="G614" s="74"/>
    </row>
    <row r="615" spans="1:7" s="10" customFormat="1" outlineLevel="1" x14ac:dyDescent="0.2">
      <c r="A615" s="73" t="s">
        <v>153</v>
      </c>
      <c r="B615" s="47" t="s">
        <v>318</v>
      </c>
      <c r="C615" s="24" t="s">
        <v>429</v>
      </c>
      <c r="D615" s="52"/>
      <c r="E615" s="52"/>
      <c r="F615" s="15">
        <f t="shared" si="55"/>
        <v>0</v>
      </c>
      <c r="G615" s="74"/>
    </row>
    <row r="616" spans="1:7" s="10" customFormat="1" outlineLevel="1" x14ac:dyDescent="0.2">
      <c r="A616" s="73" t="s">
        <v>155</v>
      </c>
      <c r="B616" s="47" t="s">
        <v>60</v>
      </c>
      <c r="C616" s="24" t="s">
        <v>429</v>
      </c>
      <c r="D616" s="52"/>
      <c r="E616" s="52"/>
      <c r="F616" s="15">
        <f t="shared" si="55"/>
        <v>0</v>
      </c>
      <c r="G616" s="74"/>
    </row>
    <row r="617" spans="1:7" s="10" customFormat="1" outlineLevel="1" x14ac:dyDescent="0.2">
      <c r="A617" s="73" t="s">
        <v>156</v>
      </c>
      <c r="B617" s="47" t="s">
        <v>319</v>
      </c>
      <c r="C617" s="24" t="s">
        <v>429</v>
      </c>
      <c r="D617" s="52"/>
      <c r="E617" s="52"/>
      <c r="F617" s="15">
        <f t="shared" si="55"/>
        <v>0</v>
      </c>
      <c r="G617" s="74"/>
    </row>
    <row r="618" spans="1:7" s="10" customFormat="1" outlineLevel="1" x14ac:dyDescent="0.2">
      <c r="A618" s="73" t="s">
        <v>158</v>
      </c>
      <c r="B618" s="47" t="s">
        <v>320</v>
      </c>
      <c r="C618" s="24" t="s">
        <v>429</v>
      </c>
      <c r="D618" s="52"/>
      <c r="E618" s="52"/>
      <c r="F618" s="15">
        <f t="shared" si="55"/>
        <v>0</v>
      </c>
      <c r="G618" s="74"/>
    </row>
    <row r="619" spans="1:7" s="10" customFormat="1" outlineLevel="1" x14ac:dyDescent="0.2">
      <c r="A619" s="73" t="s">
        <v>160</v>
      </c>
      <c r="B619" s="47" t="s">
        <v>61</v>
      </c>
      <c r="C619" s="24" t="s">
        <v>429</v>
      </c>
      <c r="D619" s="52"/>
      <c r="E619" s="52"/>
      <c r="F619" s="15">
        <f t="shared" si="55"/>
        <v>0</v>
      </c>
      <c r="G619" s="74"/>
    </row>
    <row r="620" spans="1:7" s="10" customFormat="1" outlineLevel="1" x14ac:dyDescent="0.2">
      <c r="A620" s="73" t="s">
        <v>161</v>
      </c>
      <c r="B620" s="47" t="s">
        <v>321</v>
      </c>
      <c r="C620" s="24" t="s">
        <v>429</v>
      </c>
      <c r="D620" s="52"/>
      <c r="E620" s="52"/>
      <c r="F620" s="15">
        <f t="shared" si="55"/>
        <v>0</v>
      </c>
      <c r="G620" s="74"/>
    </row>
    <row r="621" spans="1:7" s="10" customFormat="1" outlineLevel="1" x14ac:dyDescent="0.2">
      <c r="A621" s="73" t="s">
        <v>163</v>
      </c>
      <c r="B621" s="47" t="s">
        <v>322</v>
      </c>
      <c r="C621" s="24" t="s">
        <v>429</v>
      </c>
      <c r="D621" s="52"/>
      <c r="E621" s="52"/>
      <c r="F621" s="15">
        <f t="shared" si="55"/>
        <v>0</v>
      </c>
      <c r="G621" s="74"/>
    </row>
    <row r="622" spans="1:7" outlineLevel="1" x14ac:dyDescent="0.2">
      <c r="A622" s="73" t="s">
        <v>165</v>
      </c>
      <c r="B622" s="47" t="s">
        <v>62</v>
      </c>
      <c r="C622" s="24" t="s">
        <v>429</v>
      </c>
      <c r="D622" s="52"/>
      <c r="E622" s="52"/>
      <c r="F622" s="15">
        <f t="shared" si="55"/>
        <v>0</v>
      </c>
      <c r="G622" s="46"/>
    </row>
    <row r="623" spans="1:7" outlineLevel="1" x14ac:dyDescent="0.2">
      <c r="A623" s="73" t="s">
        <v>178</v>
      </c>
      <c r="B623" s="47" t="s">
        <v>323</v>
      </c>
      <c r="C623" s="24" t="s">
        <v>429</v>
      </c>
      <c r="D623" s="52"/>
      <c r="E623" s="52"/>
      <c r="F623" s="15">
        <f t="shared" si="55"/>
        <v>0</v>
      </c>
      <c r="G623" s="46"/>
    </row>
    <row r="624" spans="1:7" outlineLevel="1" x14ac:dyDescent="0.2">
      <c r="A624" s="73" t="s">
        <v>180</v>
      </c>
      <c r="B624" s="47" t="s">
        <v>324</v>
      </c>
      <c r="C624" s="24" t="s">
        <v>429</v>
      </c>
      <c r="D624" s="52"/>
      <c r="E624" s="52"/>
      <c r="F624" s="15">
        <f t="shared" si="55"/>
        <v>0</v>
      </c>
      <c r="G624" s="46"/>
    </row>
    <row r="625" spans="1:14" outlineLevel="1" x14ac:dyDescent="0.2">
      <c r="A625" s="73" t="s">
        <v>112</v>
      </c>
      <c r="B625" s="47" t="s">
        <v>325</v>
      </c>
      <c r="C625" s="24" t="s">
        <v>429</v>
      </c>
      <c r="D625" s="52"/>
      <c r="E625" s="52"/>
      <c r="F625" s="15">
        <f t="shared" si="55"/>
        <v>0</v>
      </c>
      <c r="G625" s="46"/>
    </row>
    <row r="626" spans="1:14" outlineLevel="1" x14ac:dyDescent="0.2">
      <c r="A626" s="51" t="s">
        <v>183</v>
      </c>
      <c r="B626" s="47" t="s">
        <v>326</v>
      </c>
      <c r="C626" s="35" t="s">
        <v>429</v>
      </c>
      <c r="D626" s="79"/>
      <c r="E626" s="79"/>
      <c r="F626" s="15">
        <f t="shared" si="55"/>
        <v>0</v>
      </c>
      <c r="G626" s="46"/>
    </row>
    <row r="627" spans="1:14" ht="28.5" outlineLevel="1" x14ac:dyDescent="0.2">
      <c r="A627" s="51" t="s">
        <v>185</v>
      </c>
      <c r="B627" s="47" t="s">
        <v>327</v>
      </c>
      <c r="C627" s="35" t="s">
        <v>429</v>
      </c>
      <c r="D627" s="79"/>
      <c r="E627" s="79"/>
      <c r="F627" s="15">
        <f t="shared" si="55"/>
        <v>0</v>
      </c>
      <c r="G627" s="46"/>
    </row>
    <row r="628" spans="1:14" ht="71.25" outlineLevel="1" x14ac:dyDescent="0.2">
      <c r="A628" s="86" t="s">
        <v>187</v>
      </c>
      <c r="B628" s="47" t="s">
        <v>328</v>
      </c>
      <c r="C628" s="24" t="s">
        <v>429</v>
      </c>
      <c r="D628" s="9"/>
      <c r="E628" s="9"/>
      <c r="F628" s="15">
        <f t="shared" si="55"/>
        <v>0</v>
      </c>
      <c r="G628" s="46"/>
    </row>
    <row r="629" spans="1:14" s="46" customFormat="1" ht="57" outlineLevel="1" x14ac:dyDescent="0.2">
      <c r="A629" s="86" t="s">
        <v>189</v>
      </c>
      <c r="B629" s="47" t="s">
        <v>329</v>
      </c>
      <c r="C629" s="35" t="s">
        <v>429</v>
      </c>
      <c r="D629" s="9"/>
      <c r="E629" s="9"/>
      <c r="F629" s="15">
        <f t="shared" si="55"/>
        <v>0</v>
      </c>
      <c r="H629" s="17"/>
      <c r="I629" s="17"/>
      <c r="J629" s="17"/>
      <c r="K629" s="17"/>
      <c r="L629" s="17"/>
      <c r="M629" s="17"/>
      <c r="N629" s="17"/>
    </row>
    <row r="630" spans="1:14" s="46" customFormat="1" outlineLevel="1" x14ac:dyDescent="0.2">
      <c r="A630" s="86">
        <v>10.23</v>
      </c>
      <c r="B630" s="37" t="s">
        <v>63</v>
      </c>
      <c r="C630" s="35"/>
      <c r="D630" s="9"/>
      <c r="E630" s="9"/>
      <c r="F630" s="15">
        <f t="shared" si="55"/>
        <v>0</v>
      </c>
      <c r="H630" s="17"/>
      <c r="I630" s="17"/>
      <c r="J630" s="17"/>
      <c r="K630" s="17"/>
      <c r="L630" s="17"/>
      <c r="M630" s="17"/>
      <c r="N630" s="17"/>
    </row>
    <row r="631" spans="1:14" s="46" customFormat="1" ht="57" outlineLevel="1" x14ac:dyDescent="0.2">
      <c r="A631" s="86" t="s">
        <v>149</v>
      </c>
      <c r="B631" s="47" t="s">
        <v>330</v>
      </c>
      <c r="C631" s="35" t="s">
        <v>429</v>
      </c>
      <c r="D631" s="9"/>
      <c r="E631" s="9"/>
      <c r="F631" s="15">
        <f t="shared" si="55"/>
        <v>0</v>
      </c>
      <c r="H631" s="17"/>
      <c r="I631" s="17"/>
      <c r="J631" s="17"/>
      <c r="K631" s="17"/>
      <c r="L631" s="17"/>
      <c r="M631" s="17"/>
      <c r="N631" s="17"/>
    </row>
    <row r="632" spans="1:14" s="46" customFormat="1" ht="57" outlineLevel="1" x14ac:dyDescent="0.2">
      <c r="A632" s="86" t="s">
        <v>151</v>
      </c>
      <c r="B632" s="47" t="s">
        <v>64</v>
      </c>
      <c r="C632" s="35" t="s">
        <v>429</v>
      </c>
      <c r="D632" s="9"/>
      <c r="E632" s="9"/>
      <c r="F632" s="15">
        <f t="shared" si="55"/>
        <v>0</v>
      </c>
      <c r="H632" s="17"/>
      <c r="I632" s="17"/>
      <c r="J632" s="17"/>
      <c r="K632" s="17"/>
      <c r="L632" s="17"/>
      <c r="M632" s="17"/>
      <c r="N632" s="17"/>
    </row>
    <row r="633" spans="1:14" s="46" customFormat="1" ht="42.75" outlineLevel="1" x14ac:dyDescent="0.2">
      <c r="A633" s="86" t="s">
        <v>153</v>
      </c>
      <c r="B633" s="47" t="s">
        <v>65</v>
      </c>
      <c r="C633" s="35" t="s">
        <v>429</v>
      </c>
      <c r="D633" s="9"/>
      <c r="E633" s="9"/>
      <c r="F633" s="15">
        <f t="shared" si="55"/>
        <v>0</v>
      </c>
      <c r="H633" s="17"/>
      <c r="I633" s="17"/>
      <c r="J633" s="17"/>
      <c r="K633" s="17"/>
      <c r="L633" s="17"/>
      <c r="M633" s="17"/>
      <c r="N633" s="17"/>
    </row>
    <row r="634" spans="1:14" s="46" customFormat="1" ht="42.75" outlineLevel="1" x14ac:dyDescent="0.2">
      <c r="A634" s="86" t="s">
        <v>155</v>
      </c>
      <c r="B634" s="47" t="s">
        <v>66</v>
      </c>
      <c r="C634" s="35" t="s">
        <v>429</v>
      </c>
      <c r="D634" s="9"/>
      <c r="E634" s="9"/>
      <c r="F634" s="15">
        <f t="shared" si="55"/>
        <v>0</v>
      </c>
      <c r="H634" s="17"/>
      <c r="I634" s="17"/>
      <c r="J634" s="17"/>
      <c r="K634" s="17"/>
      <c r="L634" s="17"/>
      <c r="M634" s="17"/>
      <c r="N634" s="17"/>
    </row>
    <row r="635" spans="1:14" s="46" customFormat="1" outlineLevel="1" x14ac:dyDescent="0.2">
      <c r="A635" s="86" t="s">
        <v>156</v>
      </c>
      <c r="B635" s="47" t="s">
        <v>67</v>
      </c>
      <c r="C635" s="35" t="s">
        <v>429</v>
      </c>
      <c r="D635" s="9"/>
      <c r="E635" s="9"/>
      <c r="F635" s="15">
        <f t="shared" si="55"/>
        <v>0</v>
      </c>
      <c r="H635" s="17"/>
      <c r="I635" s="17"/>
      <c r="J635" s="17"/>
      <c r="K635" s="17"/>
      <c r="L635" s="17"/>
      <c r="M635" s="17"/>
      <c r="N635" s="17"/>
    </row>
    <row r="636" spans="1:14" s="46" customFormat="1" outlineLevel="1" x14ac:dyDescent="0.2">
      <c r="A636" s="86" t="s">
        <v>158</v>
      </c>
      <c r="B636" s="47" t="s">
        <v>331</v>
      </c>
      <c r="C636" s="35" t="s">
        <v>429</v>
      </c>
      <c r="D636" s="9"/>
      <c r="E636" s="9"/>
      <c r="F636" s="15">
        <f t="shared" si="55"/>
        <v>0</v>
      </c>
      <c r="H636" s="17"/>
      <c r="I636" s="17"/>
      <c r="J636" s="17"/>
      <c r="K636" s="17"/>
      <c r="L636" s="17"/>
      <c r="M636" s="17"/>
      <c r="N636" s="17"/>
    </row>
    <row r="637" spans="1:14" s="46" customFormat="1" ht="28.5" outlineLevel="1" x14ac:dyDescent="0.2">
      <c r="A637" s="86" t="s">
        <v>160</v>
      </c>
      <c r="B637" s="47" t="s">
        <v>68</v>
      </c>
      <c r="C637" s="35" t="s">
        <v>429</v>
      </c>
      <c r="D637" s="9"/>
      <c r="E637" s="9"/>
      <c r="F637" s="15">
        <f t="shared" si="55"/>
        <v>0</v>
      </c>
      <c r="H637" s="17"/>
      <c r="I637" s="17"/>
      <c r="J637" s="17"/>
      <c r="K637" s="17"/>
      <c r="L637" s="17"/>
      <c r="M637" s="17"/>
      <c r="N637" s="17"/>
    </row>
    <row r="638" spans="1:14" s="46" customFormat="1" ht="57" outlineLevel="1" x14ac:dyDescent="0.2">
      <c r="A638" s="86" t="s">
        <v>161</v>
      </c>
      <c r="B638" s="47" t="s">
        <v>439</v>
      </c>
      <c r="C638" s="35" t="s">
        <v>429</v>
      </c>
      <c r="D638" s="9"/>
      <c r="E638" s="9"/>
      <c r="F638" s="15">
        <f t="shared" si="55"/>
        <v>0</v>
      </c>
      <c r="H638" s="17"/>
      <c r="I638" s="17"/>
      <c r="J638" s="17"/>
      <c r="K638" s="17"/>
      <c r="L638" s="17"/>
      <c r="M638" s="17"/>
      <c r="N638" s="17"/>
    </row>
    <row r="639" spans="1:14" s="46" customFormat="1" ht="28.5" outlineLevel="1" x14ac:dyDescent="0.2">
      <c r="A639" s="86" t="s">
        <v>163</v>
      </c>
      <c r="B639" s="47" t="s">
        <v>332</v>
      </c>
      <c r="C639" s="35" t="s">
        <v>429</v>
      </c>
      <c r="D639" s="9"/>
      <c r="E639" s="9"/>
      <c r="F639" s="15">
        <f t="shared" si="55"/>
        <v>0</v>
      </c>
      <c r="H639" s="17"/>
      <c r="I639" s="17"/>
      <c r="J639" s="17"/>
      <c r="K639" s="17"/>
      <c r="L639" s="17"/>
      <c r="M639" s="17"/>
      <c r="N639" s="17"/>
    </row>
    <row r="640" spans="1:14" s="46" customFormat="1" ht="28.5" outlineLevel="1" x14ac:dyDescent="0.2">
      <c r="A640" s="86" t="s">
        <v>165</v>
      </c>
      <c r="B640" s="47" t="s">
        <v>333</v>
      </c>
      <c r="C640" s="35" t="s">
        <v>429</v>
      </c>
      <c r="D640" s="9"/>
      <c r="E640" s="9"/>
      <c r="F640" s="15">
        <f t="shared" si="55"/>
        <v>0</v>
      </c>
      <c r="H640" s="17"/>
      <c r="I640" s="17"/>
      <c r="J640" s="17"/>
      <c r="K640" s="17"/>
      <c r="L640" s="17"/>
      <c r="M640" s="17"/>
      <c r="N640" s="17"/>
    </row>
    <row r="641" spans="1:14" s="46" customFormat="1" ht="28.5" outlineLevel="1" x14ac:dyDescent="0.2">
      <c r="A641" s="86" t="s">
        <v>178</v>
      </c>
      <c r="B641" s="47" t="s">
        <v>334</v>
      </c>
      <c r="C641" s="35" t="s">
        <v>429</v>
      </c>
      <c r="D641" s="9"/>
      <c r="E641" s="9"/>
      <c r="F641" s="15">
        <f t="shared" si="55"/>
        <v>0</v>
      </c>
      <c r="H641" s="17"/>
      <c r="I641" s="17"/>
      <c r="J641" s="17"/>
      <c r="K641" s="17"/>
      <c r="L641" s="17"/>
      <c r="M641" s="17"/>
      <c r="N641" s="17"/>
    </row>
    <row r="642" spans="1:14" s="46" customFormat="1" ht="28.5" outlineLevel="1" x14ac:dyDescent="0.2">
      <c r="A642" s="86" t="s">
        <v>180</v>
      </c>
      <c r="B642" s="47" t="s">
        <v>335</v>
      </c>
      <c r="C642" s="35" t="s">
        <v>429</v>
      </c>
      <c r="D642" s="9"/>
      <c r="E642" s="9"/>
      <c r="F642" s="15">
        <f t="shared" si="55"/>
        <v>0</v>
      </c>
      <c r="H642" s="17"/>
      <c r="I642" s="17"/>
      <c r="J642" s="17"/>
      <c r="K642" s="17"/>
      <c r="L642" s="17"/>
      <c r="M642" s="17"/>
      <c r="N642" s="17"/>
    </row>
    <row r="643" spans="1:14" s="46" customFormat="1" ht="28.5" outlineLevel="1" x14ac:dyDescent="0.2">
      <c r="A643" s="86" t="s">
        <v>112</v>
      </c>
      <c r="B643" s="47" t="s">
        <v>336</v>
      </c>
      <c r="C643" s="35" t="s">
        <v>429</v>
      </c>
      <c r="D643" s="9"/>
      <c r="E643" s="9"/>
      <c r="F643" s="15">
        <f t="shared" ref="F643:F661" si="56">IFERROR(E643*D643,0)</f>
        <v>0</v>
      </c>
      <c r="H643" s="17"/>
      <c r="I643" s="17"/>
      <c r="J643" s="17"/>
      <c r="K643" s="17"/>
      <c r="L643" s="17"/>
      <c r="M643" s="17"/>
      <c r="N643" s="17"/>
    </row>
    <row r="644" spans="1:14" s="46" customFormat="1" outlineLevel="1" x14ac:dyDescent="0.2">
      <c r="A644" s="86" t="s">
        <v>183</v>
      </c>
      <c r="B644" s="47" t="s">
        <v>337</v>
      </c>
      <c r="C644" s="35" t="s">
        <v>429</v>
      </c>
      <c r="D644" s="9"/>
      <c r="E644" s="9"/>
      <c r="F644" s="15">
        <f t="shared" si="56"/>
        <v>0</v>
      </c>
      <c r="H644" s="17"/>
      <c r="I644" s="17"/>
      <c r="J644" s="17"/>
      <c r="K644" s="17"/>
      <c r="L644" s="17"/>
      <c r="M644" s="17"/>
      <c r="N644" s="17"/>
    </row>
    <row r="645" spans="1:14" s="46" customFormat="1" ht="129" outlineLevel="1" x14ac:dyDescent="0.2">
      <c r="A645" s="86">
        <v>10.24</v>
      </c>
      <c r="B645" s="45" t="s">
        <v>355</v>
      </c>
      <c r="C645" s="35" t="s">
        <v>429</v>
      </c>
      <c r="D645" s="9"/>
      <c r="E645" s="9"/>
      <c r="F645" s="15">
        <f t="shared" si="56"/>
        <v>0</v>
      </c>
      <c r="H645" s="17"/>
      <c r="I645" s="17"/>
      <c r="J645" s="17"/>
      <c r="K645" s="17"/>
      <c r="L645" s="17"/>
      <c r="M645" s="17"/>
      <c r="N645" s="17"/>
    </row>
    <row r="646" spans="1:14" s="46" customFormat="1" ht="180" outlineLevel="1" x14ac:dyDescent="0.2">
      <c r="A646" s="86"/>
      <c r="B646" s="37" t="s">
        <v>440</v>
      </c>
      <c r="C646" s="35"/>
      <c r="D646" s="9"/>
      <c r="E646" s="9"/>
      <c r="F646" s="15">
        <f t="shared" si="56"/>
        <v>0</v>
      </c>
      <c r="H646" s="17"/>
      <c r="I646" s="17"/>
      <c r="J646" s="17"/>
      <c r="K646" s="17"/>
      <c r="L646" s="17"/>
      <c r="M646" s="17"/>
      <c r="N646" s="17"/>
    </row>
    <row r="647" spans="1:14" s="46" customFormat="1" ht="20.100000000000001" customHeight="1" outlineLevel="1" x14ac:dyDescent="0.2">
      <c r="A647" s="86"/>
      <c r="B647" s="37"/>
      <c r="C647" s="35"/>
      <c r="D647" s="9"/>
      <c r="E647" s="9"/>
      <c r="F647" s="15">
        <f t="shared" si="56"/>
        <v>0</v>
      </c>
      <c r="H647" s="17"/>
      <c r="I647" s="17"/>
      <c r="J647" s="17"/>
      <c r="K647" s="17"/>
      <c r="L647" s="17"/>
      <c r="M647" s="17"/>
      <c r="N647" s="17"/>
    </row>
    <row r="648" spans="1:14" s="46" customFormat="1" ht="20.100000000000001" customHeight="1" outlineLevel="1" x14ac:dyDescent="0.2">
      <c r="A648" s="86"/>
      <c r="B648" s="37"/>
      <c r="C648" s="35"/>
      <c r="D648" s="9"/>
      <c r="E648" s="9"/>
      <c r="F648" s="15">
        <f t="shared" si="56"/>
        <v>0</v>
      </c>
      <c r="H648" s="17"/>
      <c r="I648" s="17"/>
      <c r="J648" s="17"/>
      <c r="K648" s="17"/>
      <c r="L648" s="17"/>
      <c r="M648" s="17"/>
      <c r="N648" s="17"/>
    </row>
    <row r="649" spans="1:14" s="46" customFormat="1" ht="20.100000000000001" customHeight="1" outlineLevel="1" x14ac:dyDescent="0.2">
      <c r="A649" s="86"/>
      <c r="B649" s="37"/>
      <c r="C649" s="35"/>
      <c r="D649" s="9"/>
      <c r="E649" s="9"/>
      <c r="F649" s="15">
        <f t="shared" si="56"/>
        <v>0</v>
      </c>
      <c r="H649" s="17"/>
      <c r="I649" s="17"/>
      <c r="J649" s="17"/>
      <c r="K649" s="17"/>
      <c r="L649" s="17"/>
      <c r="M649" s="17"/>
      <c r="N649" s="17"/>
    </row>
    <row r="650" spans="1:14" s="46" customFormat="1" ht="20.100000000000001" customHeight="1" outlineLevel="1" x14ac:dyDescent="0.2">
      <c r="A650" s="86"/>
      <c r="B650" s="37"/>
      <c r="C650" s="35"/>
      <c r="D650" s="9"/>
      <c r="E650" s="9"/>
      <c r="F650" s="15">
        <f t="shared" si="56"/>
        <v>0</v>
      </c>
      <c r="H650" s="17"/>
      <c r="I650" s="17"/>
      <c r="J650" s="17"/>
      <c r="K650" s="17"/>
      <c r="L650" s="17"/>
      <c r="M650" s="17"/>
      <c r="N650" s="17"/>
    </row>
    <row r="651" spans="1:14" s="46" customFormat="1" ht="20.100000000000001" customHeight="1" outlineLevel="1" x14ac:dyDescent="0.2">
      <c r="A651" s="86"/>
      <c r="B651" s="37"/>
      <c r="C651" s="35"/>
      <c r="D651" s="9"/>
      <c r="E651" s="9"/>
      <c r="F651" s="15">
        <f t="shared" si="56"/>
        <v>0</v>
      </c>
      <c r="H651" s="17"/>
      <c r="I651" s="17"/>
      <c r="J651" s="17"/>
      <c r="K651" s="17"/>
      <c r="L651" s="17"/>
      <c r="M651" s="17"/>
      <c r="N651" s="17"/>
    </row>
    <row r="652" spans="1:14" s="46" customFormat="1" ht="20.100000000000001" customHeight="1" outlineLevel="1" x14ac:dyDescent="0.2">
      <c r="A652" s="86"/>
      <c r="B652" s="37"/>
      <c r="C652" s="35"/>
      <c r="D652" s="9"/>
      <c r="E652" s="9"/>
      <c r="F652" s="15">
        <f t="shared" si="56"/>
        <v>0</v>
      </c>
      <c r="H652" s="17"/>
      <c r="I652" s="17"/>
      <c r="J652" s="17"/>
      <c r="K652" s="17"/>
      <c r="L652" s="17"/>
      <c r="M652" s="17"/>
      <c r="N652" s="17"/>
    </row>
    <row r="653" spans="1:14" s="46" customFormat="1" ht="20.100000000000001" customHeight="1" outlineLevel="1" x14ac:dyDescent="0.2">
      <c r="A653" s="86"/>
      <c r="B653" s="37"/>
      <c r="C653" s="35"/>
      <c r="D653" s="9"/>
      <c r="E653" s="9"/>
      <c r="F653" s="15">
        <f t="shared" si="56"/>
        <v>0</v>
      </c>
      <c r="H653" s="17"/>
      <c r="I653" s="17"/>
      <c r="J653" s="17"/>
      <c r="K653" s="17"/>
      <c r="L653" s="17"/>
      <c r="M653" s="17"/>
      <c r="N653" s="17"/>
    </row>
    <row r="654" spans="1:14" s="46" customFormat="1" ht="20.100000000000001" customHeight="1" outlineLevel="1" x14ac:dyDescent="0.2">
      <c r="A654" s="86"/>
      <c r="B654" s="37"/>
      <c r="C654" s="35"/>
      <c r="D654" s="9"/>
      <c r="E654" s="9"/>
      <c r="F654" s="15">
        <f t="shared" si="56"/>
        <v>0</v>
      </c>
      <c r="H654" s="17"/>
      <c r="I654" s="17"/>
      <c r="J654" s="17"/>
      <c r="K654" s="17"/>
      <c r="L654" s="17"/>
      <c r="M654" s="17"/>
      <c r="N654" s="17"/>
    </row>
    <row r="655" spans="1:14" s="46" customFormat="1" ht="20.100000000000001" customHeight="1" outlineLevel="1" x14ac:dyDescent="0.2">
      <c r="A655" s="86"/>
      <c r="B655" s="37"/>
      <c r="C655" s="35"/>
      <c r="D655" s="9"/>
      <c r="E655" s="9"/>
      <c r="F655" s="15">
        <f t="shared" si="56"/>
        <v>0</v>
      </c>
      <c r="H655" s="17"/>
      <c r="I655" s="17"/>
      <c r="J655" s="17"/>
      <c r="K655" s="17"/>
      <c r="L655" s="17"/>
      <c r="M655" s="17"/>
      <c r="N655" s="17"/>
    </row>
    <row r="656" spans="1:14" s="46" customFormat="1" ht="20.100000000000001" customHeight="1" outlineLevel="1" x14ac:dyDescent="0.2">
      <c r="A656" s="86"/>
      <c r="B656" s="37"/>
      <c r="C656" s="35"/>
      <c r="D656" s="9"/>
      <c r="E656" s="9"/>
      <c r="F656" s="15">
        <f t="shared" si="56"/>
        <v>0</v>
      </c>
      <c r="H656" s="17"/>
      <c r="I656" s="17"/>
      <c r="J656" s="17"/>
      <c r="K656" s="17"/>
      <c r="L656" s="17"/>
      <c r="M656" s="17"/>
      <c r="N656" s="17"/>
    </row>
    <row r="657" spans="1:14" s="46" customFormat="1" ht="20.100000000000001" customHeight="1" outlineLevel="1" x14ac:dyDescent="0.2">
      <c r="A657" s="86"/>
      <c r="B657" s="37"/>
      <c r="C657" s="35"/>
      <c r="D657" s="9"/>
      <c r="E657" s="9"/>
      <c r="F657" s="15">
        <f t="shared" si="56"/>
        <v>0</v>
      </c>
      <c r="H657" s="17"/>
      <c r="I657" s="17"/>
      <c r="J657" s="17"/>
      <c r="K657" s="17"/>
      <c r="L657" s="17"/>
      <c r="M657" s="17"/>
      <c r="N657" s="17"/>
    </row>
    <row r="658" spans="1:14" s="46" customFormat="1" ht="20.100000000000001" customHeight="1" outlineLevel="1" x14ac:dyDescent="0.2">
      <c r="A658" s="86"/>
      <c r="B658" s="37"/>
      <c r="C658" s="35"/>
      <c r="D658" s="9"/>
      <c r="E658" s="9"/>
      <c r="F658" s="15">
        <f t="shared" si="56"/>
        <v>0</v>
      </c>
      <c r="H658" s="17"/>
      <c r="I658" s="17"/>
      <c r="J658" s="17"/>
      <c r="K658" s="17"/>
      <c r="L658" s="17"/>
      <c r="M658" s="17"/>
      <c r="N658" s="17"/>
    </row>
    <row r="659" spans="1:14" s="46" customFormat="1" ht="20.100000000000001" customHeight="1" outlineLevel="1" x14ac:dyDescent="0.2">
      <c r="A659" s="86"/>
      <c r="B659" s="37"/>
      <c r="C659" s="35"/>
      <c r="D659" s="9"/>
      <c r="E659" s="9"/>
      <c r="F659" s="15">
        <f t="shared" si="56"/>
        <v>0</v>
      </c>
      <c r="H659" s="17"/>
      <c r="I659" s="17"/>
      <c r="J659" s="17"/>
      <c r="K659" s="17"/>
      <c r="L659" s="17"/>
      <c r="M659" s="17"/>
      <c r="N659" s="17"/>
    </row>
    <row r="660" spans="1:14" s="46" customFormat="1" ht="20.100000000000001" customHeight="1" outlineLevel="1" x14ac:dyDescent="0.2">
      <c r="A660" s="86"/>
      <c r="B660" s="37"/>
      <c r="C660" s="35"/>
      <c r="D660" s="9"/>
      <c r="E660" s="9"/>
      <c r="F660" s="15">
        <f t="shared" si="56"/>
        <v>0</v>
      </c>
      <c r="H660" s="17"/>
      <c r="I660" s="17"/>
      <c r="J660" s="17"/>
      <c r="K660" s="17"/>
      <c r="L660" s="17"/>
      <c r="M660" s="17"/>
      <c r="N660" s="17"/>
    </row>
    <row r="661" spans="1:14" s="46" customFormat="1" ht="20.100000000000001" customHeight="1" outlineLevel="1" x14ac:dyDescent="0.2">
      <c r="A661" s="86"/>
      <c r="B661" s="37"/>
      <c r="C661" s="35"/>
      <c r="D661" s="9"/>
      <c r="E661" s="9"/>
      <c r="F661" s="15">
        <f t="shared" si="56"/>
        <v>0</v>
      </c>
      <c r="H661" s="17"/>
      <c r="I661" s="17"/>
      <c r="J661" s="17"/>
      <c r="K661" s="17"/>
      <c r="L661" s="17"/>
      <c r="M661" s="17"/>
      <c r="N661" s="17"/>
    </row>
    <row r="662" spans="1:14" ht="24.95" customHeight="1" x14ac:dyDescent="0.2">
      <c r="A662" s="147"/>
      <c r="B662" s="127" t="s">
        <v>98</v>
      </c>
      <c r="C662" s="18"/>
      <c r="D662" s="142"/>
      <c r="E662" s="143"/>
      <c r="F662" s="98">
        <f>SUM(F513:F661)</f>
        <v>0</v>
      </c>
    </row>
    <row r="663" spans="1:14" ht="24.95" customHeight="1" outlineLevel="1" x14ac:dyDescent="0.2">
      <c r="A663" s="11"/>
      <c r="B663" s="126" t="s">
        <v>338</v>
      </c>
      <c r="C663" s="144"/>
      <c r="D663" s="145"/>
      <c r="E663" s="145"/>
      <c r="F663" s="145"/>
    </row>
    <row r="664" spans="1:14" ht="57" outlineLevel="1" x14ac:dyDescent="0.2">
      <c r="A664" s="34">
        <v>11.1</v>
      </c>
      <c r="B664" s="49" t="s">
        <v>339</v>
      </c>
      <c r="C664" s="35"/>
      <c r="D664" s="16"/>
      <c r="E664" s="16"/>
      <c r="F664" s="9">
        <f>IFERROR(E664*D664,0)</f>
        <v>0</v>
      </c>
    </row>
    <row r="665" spans="1:14" ht="28.5" outlineLevel="1" x14ac:dyDescent="0.2">
      <c r="A665" s="155" t="s">
        <v>107</v>
      </c>
      <c r="B665" s="47" t="s">
        <v>340</v>
      </c>
      <c r="C665" s="35" t="s">
        <v>101</v>
      </c>
      <c r="D665" s="16"/>
      <c r="E665" s="16"/>
      <c r="F665" s="9">
        <f t="shared" ref="F665:F687" si="57">IFERROR(E665*D665,0)</f>
        <v>0</v>
      </c>
    </row>
    <row r="666" spans="1:14" outlineLevel="1" x14ac:dyDescent="0.2">
      <c r="A666" s="155" t="s">
        <v>108</v>
      </c>
      <c r="B666" s="47" t="s">
        <v>341</v>
      </c>
      <c r="C666" s="35" t="s">
        <v>385</v>
      </c>
      <c r="D666" s="16"/>
      <c r="E666" s="16"/>
      <c r="F666" s="9">
        <f t="shared" si="57"/>
        <v>0</v>
      </c>
    </row>
    <row r="667" spans="1:14" outlineLevel="1" x14ac:dyDescent="0.2">
      <c r="A667" s="155" t="s">
        <v>109</v>
      </c>
      <c r="B667" s="47" t="s">
        <v>342</v>
      </c>
      <c r="C667" s="35" t="s">
        <v>385</v>
      </c>
      <c r="D667" s="16"/>
      <c r="E667" s="16"/>
      <c r="F667" s="9">
        <f t="shared" si="57"/>
        <v>0</v>
      </c>
    </row>
    <row r="668" spans="1:14" outlineLevel="1" x14ac:dyDescent="0.2">
      <c r="A668" s="155" t="s">
        <v>110</v>
      </c>
      <c r="B668" s="47" t="s">
        <v>343</v>
      </c>
      <c r="C668" s="35" t="s">
        <v>111</v>
      </c>
      <c r="D668" s="16"/>
      <c r="E668" s="16"/>
      <c r="F668" s="9">
        <f t="shared" si="57"/>
        <v>0</v>
      </c>
    </row>
    <row r="669" spans="1:14" outlineLevel="1" x14ac:dyDescent="0.2">
      <c r="A669" s="155" t="s">
        <v>124</v>
      </c>
      <c r="B669" s="47" t="s">
        <v>344</v>
      </c>
      <c r="C669" s="35" t="s">
        <v>111</v>
      </c>
      <c r="D669" s="16"/>
      <c r="E669" s="16"/>
      <c r="F669" s="9">
        <f t="shared" si="57"/>
        <v>0</v>
      </c>
    </row>
    <row r="670" spans="1:14" s="27" customFormat="1" ht="127.5" outlineLevel="1" x14ac:dyDescent="0.2">
      <c r="A670" s="156">
        <v>11.2</v>
      </c>
      <c r="B670" s="1" t="s">
        <v>441</v>
      </c>
      <c r="C670" s="26" t="s">
        <v>101</v>
      </c>
      <c r="D670" s="15"/>
      <c r="E670" s="15"/>
      <c r="F670" s="9">
        <f t="shared" si="57"/>
        <v>0</v>
      </c>
    </row>
    <row r="671" spans="1:14" s="27" customFormat="1" outlineLevel="1" x14ac:dyDescent="0.2">
      <c r="A671" s="156"/>
      <c r="B671" s="1"/>
      <c r="C671" s="26"/>
      <c r="D671" s="9"/>
      <c r="E671" s="9"/>
      <c r="F671" s="15">
        <f t="shared" si="57"/>
        <v>0</v>
      </c>
    </row>
    <row r="672" spans="1:14" s="27" customFormat="1" outlineLevel="1" x14ac:dyDescent="0.2">
      <c r="A672" s="156"/>
      <c r="B672" s="1"/>
      <c r="C672" s="26"/>
      <c r="D672" s="9"/>
      <c r="E672" s="9"/>
      <c r="F672" s="15">
        <f t="shared" ref="F672:F686" si="58">IFERROR(E672*D672,0)</f>
        <v>0</v>
      </c>
    </row>
    <row r="673" spans="1:6" s="27" customFormat="1" outlineLevel="1" x14ac:dyDescent="0.2">
      <c r="A673" s="156"/>
      <c r="B673" s="1"/>
      <c r="C673" s="26"/>
      <c r="D673" s="9"/>
      <c r="E673" s="9"/>
      <c r="F673" s="15">
        <f t="shared" si="58"/>
        <v>0</v>
      </c>
    </row>
    <row r="674" spans="1:6" s="27" customFormat="1" outlineLevel="1" x14ac:dyDescent="0.2">
      <c r="A674" s="156"/>
      <c r="B674" s="1"/>
      <c r="C674" s="26"/>
      <c r="D674" s="9"/>
      <c r="E674" s="9"/>
      <c r="F674" s="15">
        <f t="shared" si="58"/>
        <v>0</v>
      </c>
    </row>
    <row r="675" spans="1:6" s="27" customFormat="1" outlineLevel="1" x14ac:dyDescent="0.2">
      <c r="A675" s="156"/>
      <c r="B675" s="1"/>
      <c r="C675" s="26"/>
      <c r="D675" s="9"/>
      <c r="E675" s="9"/>
      <c r="F675" s="15">
        <f t="shared" si="58"/>
        <v>0</v>
      </c>
    </row>
    <row r="676" spans="1:6" s="27" customFormat="1" outlineLevel="1" x14ac:dyDescent="0.2">
      <c r="A676" s="156"/>
      <c r="B676" s="1"/>
      <c r="C676" s="26"/>
      <c r="D676" s="9"/>
      <c r="E676" s="9"/>
      <c r="F676" s="15">
        <f t="shared" ref="F676:F680" si="59">IFERROR(E676*D676,0)</f>
        <v>0</v>
      </c>
    </row>
    <row r="677" spans="1:6" s="27" customFormat="1" outlineLevel="1" x14ac:dyDescent="0.2">
      <c r="A677" s="156"/>
      <c r="B677" s="1"/>
      <c r="C677" s="26"/>
      <c r="D677" s="9"/>
      <c r="E677" s="9"/>
      <c r="F677" s="15">
        <f t="shared" si="59"/>
        <v>0</v>
      </c>
    </row>
    <row r="678" spans="1:6" s="27" customFormat="1" outlineLevel="1" x14ac:dyDescent="0.2">
      <c r="A678" s="156"/>
      <c r="B678" s="1"/>
      <c r="C678" s="26"/>
      <c r="D678" s="9"/>
      <c r="E678" s="9"/>
      <c r="F678" s="15">
        <f t="shared" si="59"/>
        <v>0</v>
      </c>
    </row>
    <row r="679" spans="1:6" s="27" customFormat="1" outlineLevel="1" x14ac:dyDescent="0.2">
      <c r="A679" s="156"/>
      <c r="B679" s="1"/>
      <c r="C679" s="26"/>
      <c r="D679" s="9"/>
      <c r="E679" s="9"/>
      <c r="F679" s="15">
        <f t="shared" si="59"/>
        <v>0</v>
      </c>
    </row>
    <row r="680" spans="1:6" s="27" customFormat="1" outlineLevel="1" x14ac:dyDescent="0.2">
      <c r="A680" s="156"/>
      <c r="B680" s="1"/>
      <c r="C680" s="26"/>
      <c r="D680" s="9"/>
      <c r="E680" s="9"/>
      <c r="F680" s="15">
        <f t="shared" si="59"/>
        <v>0</v>
      </c>
    </row>
    <row r="681" spans="1:6" s="27" customFormat="1" outlineLevel="1" x14ac:dyDescent="0.2">
      <c r="A681" s="156"/>
      <c r="B681" s="1"/>
      <c r="C681" s="26"/>
      <c r="D681" s="9"/>
      <c r="E681" s="9"/>
      <c r="F681" s="15">
        <f t="shared" si="58"/>
        <v>0</v>
      </c>
    </row>
    <row r="682" spans="1:6" s="27" customFormat="1" outlineLevel="1" x14ac:dyDescent="0.2">
      <c r="A682" s="156"/>
      <c r="B682" s="1"/>
      <c r="C682" s="26"/>
      <c r="D682" s="9"/>
      <c r="E682" s="9"/>
      <c r="F682" s="15">
        <f t="shared" si="58"/>
        <v>0</v>
      </c>
    </row>
    <row r="683" spans="1:6" s="27" customFormat="1" outlineLevel="1" x14ac:dyDescent="0.2">
      <c r="A683" s="156"/>
      <c r="B683" s="1"/>
      <c r="C683" s="26"/>
      <c r="D683" s="9"/>
      <c r="E683" s="9"/>
      <c r="F683" s="15">
        <f t="shared" si="58"/>
        <v>0</v>
      </c>
    </row>
    <row r="684" spans="1:6" s="27" customFormat="1" outlineLevel="1" x14ac:dyDescent="0.2">
      <c r="A684" s="156"/>
      <c r="B684" s="1"/>
      <c r="C684" s="26"/>
      <c r="D684" s="9"/>
      <c r="E684" s="9"/>
      <c r="F684" s="15">
        <f t="shared" si="58"/>
        <v>0</v>
      </c>
    </row>
    <row r="685" spans="1:6" s="27" customFormat="1" outlineLevel="1" x14ac:dyDescent="0.2">
      <c r="A685" s="156"/>
      <c r="B685" s="1"/>
      <c r="C685" s="26"/>
      <c r="D685" s="9"/>
      <c r="E685" s="9"/>
      <c r="F685" s="15">
        <f t="shared" si="58"/>
        <v>0</v>
      </c>
    </row>
    <row r="686" spans="1:6" s="27" customFormat="1" outlineLevel="1" x14ac:dyDescent="0.2">
      <c r="A686" s="156"/>
      <c r="B686" s="1"/>
      <c r="C686" s="26"/>
      <c r="D686" s="9"/>
      <c r="E686" s="9"/>
      <c r="F686" s="15">
        <f t="shared" si="58"/>
        <v>0</v>
      </c>
    </row>
    <row r="687" spans="1:6" s="27" customFormat="1" outlineLevel="1" x14ac:dyDescent="0.2">
      <c r="A687" s="156"/>
      <c r="B687" s="1"/>
      <c r="C687" s="26"/>
      <c r="D687" s="9"/>
      <c r="E687" s="9"/>
      <c r="F687" s="15">
        <f t="shared" si="57"/>
        <v>0</v>
      </c>
    </row>
    <row r="688" spans="1:6" ht="24.95" customHeight="1" x14ac:dyDescent="0.2">
      <c r="A688" s="147"/>
      <c r="B688" s="127" t="s">
        <v>93</v>
      </c>
      <c r="C688" s="18"/>
      <c r="D688" s="142"/>
      <c r="E688" s="143"/>
      <c r="F688" s="98">
        <f>SUM(F664:F670)</f>
        <v>0</v>
      </c>
    </row>
    <row r="689" spans="1:7" s="10" customFormat="1" ht="24.95" customHeight="1" outlineLevel="1" x14ac:dyDescent="0.2">
      <c r="A689" s="93"/>
      <c r="B689" s="126" t="s">
        <v>500</v>
      </c>
      <c r="C689" s="94"/>
      <c r="D689" s="95"/>
      <c r="E689" s="95"/>
      <c r="F689" s="95"/>
      <c r="G689" s="36"/>
    </row>
    <row r="690" spans="1:7" s="10" customFormat="1" ht="51" outlineLevel="1" x14ac:dyDescent="0.2">
      <c r="A690" s="21">
        <v>12.01</v>
      </c>
      <c r="B690" s="135" t="s">
        <v>494</v>
      </c>
      <c r="C690" s="2" t="s">
        <v>100</v>
      </c>
      <c r="D690" s="14"/>
      <c r="E690" s="5"/>
      <c r="F690" s="9">
        <f t="shared" ref="F690:F696" si="60">IFERROR(D690*E690,0)</f>
        <v>0</v>
      </c>
    </row>
    <row r="691" spans="1:7" s="10" customFormat="1" ht="63.75" outlineLevel="1" x14ac:dyDescent="0.2">
      <c r="A691" s="146">
        <v>12.02</v>
      </c>
      <c r="B691" s="135" t="s">
        <v>635</v>
      </c>
      <c r="C691" s="2" t="s">
        <v>495</v>
      </c>
      <c r="D691" s="14"/>
      <c r="E691" s="5"/>
      <c r="F691" s="9">
        <f t="shared" si="60"/>
        <v>0</v>
      </c>
    </row>
    <row r="692" spans="1:7" s="10" customFormat="1" ht="63.75" outlineLevel="1" x14ac:dyDescent="0.2">
      <c r="A692" s="146">
        <v>12.03</v>
      </c>
      <c r="B692" s="135" t="s">
        <v>636</v>
      </c>
      <c r="C692" s="2" t="s">
        <v>495</v>
      </c>
      <c r="D692" s="14"/>
      <c r="E692" s="5"/>
      <c r="F692" s="9">
        <f t="shared" si="60"/>
        <v>0</v>
      </c>
    </row>
    <row r="693" spans="1:7" s="10" customFormat="1" ht="76.5" outlineLevel="1" x14ac:dyDescent="0.2">
      <c r="A693" s="21">
        <v>12.04</v>
      </c>
      <c r="B693" s="135" t="s">
        <v>496</v>
      </c>
      <c r="C693" s="2" t="s">
        <v>495</v>
      </c>
      <c r="D693" s="14"/>
      <c r="E693" s="5"/>
      <c r="F693" s="9">
        <f t="shared" si="60"/>
        <v>0</v>
      </c>
    </row>
    <row r="694" spans="1:7" s="10" customFormat="1" ht="76.5" outlineLevel="1" x14ac:dyDescent="0.2">
      <c r="A694" s="146">
        <v>12.05</v>
      </c>
      <c r="B694" s="135" t="s">
        <v>497</v>
      </c>
      <c r="C694" s="2" t="s">
        <v>495</v>
      </c>
      <c r="D694" s="14"/>
      <c r="E694" s="5"/>
      <c r="F694" s="9">
        <f t="shared" si="60"/>
        <v>0</v>
      </c>
    </row>
    <row r="695" spans="1:7" s="10" customFormat="1" ht="51" outlineLevel="1" x14ac:dyDescent="0.2">
      <c r="A695" s="146">
        <v>12.06</v>
      </c>
      <c r="B695" s="135" t="s">
        <v>637</v>
      </c>
      <c r="C695" s="2" t="s">
        <v>498</v>
      </c>
      <c r="D695" s="3"/>
      <c r="E695" s="5"/>
      <c r="F695" s="9">
        <f t="shared" si="60"/>
        <v>0</v>
      </c>
    </row>
    <row r="696" spans="1:7" ht="127.5" outlineLevel="1" x14ac:dyDescent="0.2">
      <c r="A696" s="21"/>
      <c r="B696" s="136" t="s">
        <v>499</v>
      </c>
      <c r="C696" s="2"/>
      <c r="D696" s="3"/>
      <c r="E696" s="4"/>
      <c r="F696" s="9">
        <f t="shared" si="60"/>
        <v>0</v>
      </c>
    </row>
    <row r="697" spans="1:7" outlineLevel="1" x14ac:dyDescent="0.2">
      <c r="A697" s="21"/>
      <c r="B697" s="136"/>
      <c r="C697" s="2"/>
      <c r="D697" s="3"/>
      <c r="E697" s="4"/>
      <c r="F697" s="9"/>
    </row>
    <row r="698" spans="1:7" outlineLevel="1" x14ac:dyDescent="0.2">
      <c r="A698" s="21"/>
      <c r="B698" s="136"/>
      <c r="C698" s="2"/>
      <c r="D698" s="3"/>
      <c r="E698" s="4"/>
      <c r="F698" s="9"/>
    </row>
    <row r="699" spans="1:7" outlineLevel="1" x14ac:dyDescent="0.2">
      <c r="A699" s="21"/>
      <c r="B699" s="136"/>
      <c r="C699" s="2"/>
      <c r="D699" s="3"/>
      <c r="E699" s="4"/>
      <c r="F699" s="9"/>
    </row>
    <row r="700" spans="1:7" outlineLevel="1" x14ac:dyDescent="0.2">
      <c r="A700" s="21"/>
      <c r="B700" s="136"/>
      <c r="C700" s="2"/>
      <c r="D700" s="3"/>
      <c r="E700" s="4"/>
      <c r="F700" s="9"/>
    </row>
    <row r="701" spans="1:7" outlineLevel="1" x14ac:dyDescent="0.2">
      <c r="A701" s="21"/>
      <c r="B701" s="136"/>
      <c r="C701" s="2"/>
      <c r="D701" s="3"/>
      <c r="E701" s="4"/>
      <c r="F701" s="9"/>
    </row>
    <row r="702" spans="1:7" outlineLevel="1" x14ac:dyDescent="0.2">
      <c r="A702" s="21"/>
      <c r="B702" s="136"/>
      <c r="C702" s="2"/>
      <c r="D702" s="3"/>
      <c r="E702" s="4"/>
      <c r="F702" s="9"/>
    </row>
    <row r="703" spans="1:7" outlineLevel="1" x14ac:dyDescent="0.2">
      <c r="A703" s="21"/>
      <c r="B703" s="136"/>
      <c r="C703" s="2"/>
      <c r="D703" s="3"/>
      <c r="E703" s="4"/>
      <c r="F703" s="9"/>
    </row>
    <row r="704" spans="1:7" outlineLevel="1" x14ac:dyDescent="0.2">
      <c r="A704" s="21"/>
      <c r="B704" s="136"/>
      <c r="C704" s="2"/>
      <c r="D704" s="3"/>
      <c r="E704" s="4"/>
      <c r="F704" s="9"/>
    </row>
    <row r="705" spans="1:6" ht="24.95" customHeight="1" x14ac:dyDescent="0.2">
      <c r="A705" s="147"/>
      <c r="B705" s="126" t="s">
        <v>345</v>
      </c>
      <c r="C705" s="18"/>
      <c r="D705" s="138"/>
      <c r="E705" s="138"/>
      <c r="F705" s="98">
        <f>SUM(F690:F704)</f>
        <v>0</v>
      </c>
    </row>
    <row r="706" spans="1:6" s="10" customFormat="1" ht="24.95" customHeight="1" outlineLevel="1" x14ac:dyDescent="0.2">
      <c r="A706" s="11"/>
      <c r="B706" s="126" t="s">
        <v>493</v>
      </c>
      <c r="C706" s="11"/>
      <c r="D706" s="137"/>
      <c r="E706" s="137"/>
      <c r="F706" s="137"/>
    </row>
    <row r="707" spans="1:6" s="10" customFormat="1" ht="48.75" outlineLevel="1" x14ac:dyDescent="0.2">
      <c r="A707" s="157">
        <v>13.01</v>
      </c>
      <c r="B707" s="1" t="s">
        <v>451</v>
      </c>
      <c r="C707" s="2" t="s">
        <v>429</v>
      </c>
      <c r="D707" s="14"/>
      <c r="E707" s="5"/>
      <c r="F707" s="9">
        <f t="shared" ref="F707:F720" si="61">IFERROR(D707*E707,0)</f>
        <v>0</v>
      </c>
    </row>
    <row r="708" spans="1:6" s="10" customFormat="1" ht="60.75" outlineLevel="1" x14ac:dyDescent="0.2">
      <c r="A708" s="158">
        <v>13.02</v>
      </c>
      <c r="B708" s="1" t="s">
        <v>452</v>
      </c>
      <c r="C708" s="2" t="s">
        <v>429</v>
      </c>
      <c r="D708" s="14"/>
      <c r="E708" s="5"/>
      <c r="F708" s="9">
        <f t="shared" si="61"/>
        <v>0</v>
      </c>
    </row>
    <row r="709" spans="1:6" s="10" customFormat="1" ht="48.75" outlineLevel="1" x14ac:dyDescent="0.2">
      <c r="A709" s="157">
        <v>13.03</v>
      </c>
      <c r="B709" s="1" t="s">
        <v>453</v>
      </c>
      <c r="C709" s="2" t="s">
        <v>429</v>
      </c>
      <c r="D709" s="14"/>
      <c r="E709" s="5"/>
      <c r="F709" s="9">
        <f t="shared" si="61"/>
        <v>0</v>
      </c>
    </row>
    <row r="710" spans="1:6" s="10" customFormat="1" ht="48.75" outlineLevel="1" x14ac:dyDescent="0.2">
      <c r="A710" s="157">
        <v>13.04</v>
      </c>
      <c r="B710" s="1" t="s">
        <v>454</v>
      </c>
      <c r="C710" s="2" t="s">
        <v>385</v>
      </c>
      <c r="D710" s="14"/>
      <c r="E710" s="5"/>
      <c r="F710" s="9">
        <f t="shared" si="61"/>
        <v>0</v>
      </c>
    </row>
    <row r="711" spans="1:6" s="10" customFormat="1" ht="48.75" outlineLevel="1" x14ac:dyDescent="0.2">
      <c r="A711" s="158">
        <v>13.05</v>
      </c>
      <c r="B711" s="1" t="s">
        <v>455</v>
      </c>
      <c r="C711" s="2" t="s">
        <v>111</v>
      </c>
      <c r="D711" s="14"/>
      <c r="E711" s="5"/>
      <c r="F711" s="9">
        <f t="shared" si="61"/>
        <v>0</v>
      </c>
    </row>
    <row r="712" spans="1:6" s="10" customFormat="1" ht="48.75" outlineLevel="1" x14ac:dyDescent="0.2">
      <c r="A712" s="157">
        <v>13.06</v>
      </c>
      <c r="B712" s="1" t="s">
        <v>456</v>
      </c>
      <c r="C712" s="2" t="s">
        <v>385</v>
      </c>
      <c r="D712" s="3"/>
      <c r="E712" s="5"/>
      <c r="F712" s="9">
        <f t="shared" si="61"/>
        <v>0</v>
      </c>
    </row>
    <row r="713" spans="1:6" s="10" customFormat="1" ht="48.75" outlineLevel="1" x14ac:dyDescent="0.2">
      <c r="A713" s="157">
        <v>13.07</v>
      </c>
      <c r="B713" s="1" t="s">
        <v>591</v>
      </c>
      <c r="C713" s="2" t="s">
        <v>385</v>
      </c>
      <c r="D713" s="3"/>
      <c r="E713" s="5"/>
      <c r="F713" s="9">
        <f t="shared" ref="F713" si="62">IFERROR(D713*E713,0)</f>
        <v>0</v>
      </c>
    </row>
    <row r="714" spans="1:6" ht="72.75" outlineLevel="1" x14ac:dyDescent="0.2">
      <c r="A714" s="158">
        <v>13.08</v>
      </c>
      <c r="B714" s="179" t="s">
        <v>638</v>
      </c>
      <c r="C714" s="2" t="s">
        <v>356</v>
      </c>
      <c r="D714" s="3"/>
      <c r="E714" s="4"/>
      <c r="F714" s="9">
        <f t="shared" si="61"/>
        <v>0</v>
      </c>
    </row>
    <row r="715" spans="1:6" ht="90" outlineLevel="1" x14ac:dyDescent="0.2">
      <c r="A715" s="146"/>
      <c r="B715" s="120" t="s">
        <v>418</v>
      </c>
      <c r="C715" s="2"/>
      <c r="D715" s="3"/>
      <c r="E715" s="4"/>
      <c r="F715" s="6">
        <f t="shared" si="61"/>
        <v>0</v>
      </c>
    </row>
    <row r="716" spans="1:6" ht="20.100000000000001" customHeight="1" outlineLevel="1" x14ac:dyDescent="0.2">
      <c r="A716" s="146"/>
      <c r="B716" s="120"/>
      <c r="C716" s="2"/>
      <c r="D716" s="3"/>
      <c r="E716" s="4"/>
      <c r="F716" s="6">
        <f t="shared" si="61"/>
        <v>0</v>
      </c>
    </row>
    <row r="717" spans="1:6" ht="20.100000000000001" customHeight="1" outlineLevel="1" x14ac:dyDescent="0.2">
      <c r="A717" s="146"/>
      <c r="B717" s="120"/>
      <c r="C717" s="2"/>
      <c r="D717" s="3"/>
      <c r="E717" s="4"/>
      <c r="F717" s="6">
        <f t="shared" si="61"/>
        <v>0</v>
      </c>
    </row>
    <row r="718" spans="1:6" ht="20.100000000000001" customHeight="1" outlineLevel="1" x14ac:dyDescent="0.2">
      <c r="A718" s="146"/>
      <c r="B718" s="120"/>
      <c r="C718" s="2"/>
      <c r="D718" s="3"/>
      <c r="E718" s="4"/>
      <c r="F718" s="6">
        <f t="shared" si="61"/>
        <v>0</v>
      </c>
    </row>
    <row r="719" spans="1:6" ht="20.100000000000001" customHeight="1" outlineLevel="1" x14ac:dyDescent="0.2">
      <c r="A719" s="146"/>
      <c r="B719" s="120"/>
      <c r="C719" s="2"/>
      <c r="D719" s="3"/>
      <c r="E719" s="4"/>
      <c r="F719" s="6">
        <f t="shared" si="61"/>
        <v>0</v>
      </c>
    </row>
    <row r="720" spans="1:6" ht="20.100000000000001" customHeight="1" outlineLevel="1" x14ac:dyDescent="0.2">
      <c r="A720" s="146"/>
      <c r="B720" s="120"/>
      <c r="C720" s="2"/>
      <c r="D720" s="3"/>
      <c r="E720" s="4"/>
      <c r="F720" s="6">
        <f t="shared" si="61"/>
        <v>0</v>
      </c>
    </row>
    <row r="721" spans="1:12" ht="24.95" customHeight="1" x14ac:dyDescent="0.2">
      <c r="A721" s="147"/>
      <c r="B721" s="126" t="s">
        <v>459</v>
      </c>
      <c r="C721" s="18"/>
      <c r="D721" s="138"/>
      <c r="E721" s="138"/>
      <c r="F721" s="98">
        <f>SUM(F707:F720)</f>
        <v>0</v>
      </c>
    </row>
    <row r="722" spans="1:12" ht="24.95" customHeight="1" outlineLevel="1" x14ac:dyDescent="0.2">
      <c r="A722" s="11"/>
      <c r="B722" s="126" t="s">
        <v>492</v>
      </c>
      <c r="C722" s="11"/>
      <c r="D722" s="139"/>
      <c r="E722" s="139"/>
      <c r="F722" s="139"/>
    </row>
    <row r="723" spans="1:12" s="10" customFormat="1" ht="38.25" outlineLevel="1" x14ac:dyDescent="0.2">
      <c r="A723" s="159">
        <v>14.1</v>
      </c>
      <c r="B723" s="121" t="s">
        <v>501</v>
      </c>
      <c r="C723" s="2"/>
      <c r="D723" s="14"/>
      <c r="E723" s="6"/>
      <c r="F723" s="6">
        <f t="shared" ref="F723:F728" si="63">IFERROR(D723*E723,0)</f>
        <v>0</v>
      </c>
    </row>
    <row r="724" spans="1:12" s="119" customFormat="1" ht="25.5" outlineLevel="1" x14ac:dyDescent="0.2">
      <c r="A724" s="160" t="s">
        <v>107</v>
      </c>
      <c r="B724" s="122" t="s">
        <v>502</v>
      </c>
      <c r="C724" s="30" t="s">
        <v>385</v>
      </c>
      <c r="D724" s="117"/>
      <c r="E724" s="118">
        <v>1800</v>
      </c>
      <c r="F724" s="118">
        <f t="shared" si="63"/>
        <v>0</v>
      </c>
    </row>
    <row r="725" spans="1:12" s="119" customFormat="1" ht="25.5" outlineLevel="1" x14ac:dyDescent="0.2">
      <c r="A725" s="160" t="s">
        <v>108</v>
      </c>
      <c r="B725" s="122" t="s">
        <v>460</v>
      </c>
      <c r="C725" s="30" t="s">
        <v>385</v>
      </c>
      <c r="D725" s="117"/>
      <c r="E725" s="118">
        <v>900</v>
      </c>
      <c r="F725" s="118">
        <f t="shared" si="63"/>
        <v>0</v>
      </c>
    </row>
    <row r="726" spans="1:12" s="119" customFormat="1" ht="25.5" outlineLevel="1" x14ac:dyDescent="0.2">
      <c r="A726" s="160" t="s">
        <v>109</v>
      </c>
      <c r="B726" s="122" t="s">
        <v>461</v>
      </c>
      <c r="C726" s="30" t="s">
        <v>385</v>
      </c>
      <c r="D726" s="117"/>
      <c r="E726" s="118">
        <v>500</v>
      </c>
      <c r="F726" s="118">
        <f t="shared" si="63"/>
        <v>0</v>
      </c>
    </row>
    <row r="727" spans="1:12" s="119" customFormat="1" ht="25.5" outlineLevel="1" x14ac:dyDescent="0.2">
      <c r="A727" s="160" t="s">
        <v>110</v>
      </c>
      <c r="B727" s="109" t="s">
        <v>566</v>
      </c>
      <c r="C727" s="30" t="s">
        <v>111</v>
      </c>
      <c r="D727" s="117"/>
      <c r="E727" s="118">
        <v>1000</v>
      </c>
      <c r="F727" s="118">
        <f t="shared" si="63"/>
        <v>0</v>
      </c>
    </row>
    <row r="728" spans="1:12" s="10" customFormat="1" ht="14.25" outlineLevel="1" x14ac:dyDescent="0.2">
      <c r="A728" s="191" t="s">
        <v>124</v>
      </c>
      <c r="B728" s="123" t="s">
        <v>346</v>
      </c>
      <c r="C728" s="92"/>
      <c r="D728" s="101"/>
      <c r="E728" s="102"/>
      <c r="F728" s="103">
        <f t="shared" si="63"/>
        <v>0</v>
      </c>
    </row>
    <row r="729" spans="1:12" s="10" customFormat="1" ht="14.25" outlineLevel="1" x14ac:dyDescent="0.2">
      <c r="A729" s="191"/>
      <c r="B729" s="123" t="s">
        <v>347</v>
      </c>
      <c r="C729" s="92"/>
      <c r="D729" s="101"/>
      <c r="E729" s="104">
        <v>0</v>
      </c>
      <c r="F729" s="103">
        <f>IFERROR(SUM(F724:F728)*E729,0)</f>
        <v>0</v>
      </c>
    </row>
    <row r="730" spans="1:12" ht="14.25" outlineLevel="1" x14ac:dyDescent="0.2">
      <c r="A730" s="191"/>
      <c r="B730" s="123" t="s">
        <v>70</v>
      </c>
      <c r="C730" s="92"/>
      <c r="D730" s="101"/>
      <c r="E730" s="102"/>
      <c r="F730" s="103">
        <f>IFERROR(D730*E730,0)</f>
        <v>0</v>
      </c>
    </row>
    <row r="731" spans="1:12" s="10" customFormat="1" ht="25.5" outlineLevel="1" x14ac:dyDescent="0.2">
      <c r="A731" s="159">
        <v>14.2</v>
      </c>
      <c r="B731" s="121" t="s">
        <v>568</v>
      </c>
      <c r="C731" s="2" t="s">
        <v>386</v>
      </c>
      <c r="D731" s="14">
        <v>1</v>
      </c>
      <c r="E731" s="6">
        <v>300000</v>
      </c>
      <c r="F731" s="6">
        <f>IFERROR(D731*E731,0)</f>
        <v>300000</v>
      </c>
    </row>
    <row r="732" spans="1:12" s="10" customFormat="1" ht="14.25" outlineLevel="1" x14ac:dyDescent="0.2">
      <c r="A732" s="191" t="s">
        <v>107</v>
      </c>
      <c r="B732" s="123" t="s">
        <v>346</v>
      </c>
      <c r="C732" s="92"/>
      <c r="D732" s="101"/>
      <c r="E732" s="102"/>
      <c r="F732" s="103">
        <f>IFERROR(D732*E732,0)</f>
        <v>0</v>
      </c>
    </row>
    <row r="733" spans="1:12" s="10" customFormat="1" ht="14.25" outlineLevel="1" x14ac:dyDescent="0.2">
      <c r="A733" s="191"/>
      <c r="B733" s="123" t="s">
        <v>347</v>
      </c>
      <c r="C733" s="92"/>
      <c r="D733" s="101"/>
      <c r="E733" s="104">
        <v>0</v>
      </c>
      <c r="F733" s="103">
        <f>IFERROR(F731*E733,0)</f>
        <v>0</v>
      </c>
    </row>
    <row r="734" spans="1:12" s="10" customFormat="1" ht="14.25" outlineLevel="1" x14ac:dyDescent="0.2">
      <c r="A734" s="191"/>
      <c r="B734" s="123" t="s">
        <v>70</v>
      </c>
      <c r="C734" s="92"/>
      <c r="D734" s="101"/>
      <c r="E734" s="102"/>
      <c r="F734" s="103">
        <f>IFERROR(D734*E734,0)</f>
        <v>0</v>
      </c>
    </row>
    <row r="735" spans="1:12" s="10" customFormat="1" ht="25.5" outlineLevel="1" x14ac:dyDescent="0.2">
      <c r="A735" s="159">
        <v>14.3</v>
      </c>
      <c r="B735" s="121" t="s">
        <v>567</v>
      </c>
      <c r="C735" s="2" t="s">
        <v>386</v>
      </c>
      <c r="D735" s="3">
        <v>1</v>
      </c>
      <c r="E735" s="6">
        <v>1050000</v>
      </c>
      <c r="F735" s="6">
        <f>IFERROR(D735*E735,0)</f>
        <v>1050000</v>
      </c>
      <c r="H735" s="190"/>
      <c r="I735" s="190"/>
      <c r="J735" s="190"/>
      <c r="K735" s="190"/>
      <c r="L735" s="190"/>
    </row>
    <row r="736" spans="1:12" s="10" customFormat="1" ht="14.25" outlineLevel="1" x14ac:dyDescent="0.2">
      <c r="A736" s="191" t="s">
        <v>107</v>
      </c>
      <c r="B736" s="123" t="s">
        <v>346</v>
      </c>
      <c r="C736" s="92"/>
      <c r="D736" s="101"/>
      <c r="E736" s="102"/>
      <c r="F736" s="103">
        <f>IFERROR(D736*E736,0)</f>
        <v>0</v>
      </c>
    </row>
    <row r="737" spans="1:6" s="10" customFormat="1" ht="14.25" outlineLevel="1" x14ac:dyDescent="0.2">
      <c r="A737" s="191"/>
      <c r="B737" s="123" t="s">
        <v>347</v>
      </c>
      <c r="C737" s="92"/>
      <c r="D737" s="101"/>
      <c r="E737" s="104">
        <v>0</v>
      </c>
      <c r="F737" s="103">
        <f>IFERROR(F735*E737,0)</f>
        <v>0</v>
      </c>
    </row>
    <row r="738" spans="1:6" s="10" customFormat="1" ht="14.25" outlineLevel="1" x14ac:dyDescent="0.2">
      <c r="A738" s="191"/>
      <c r="B738" s="123" t="s">
        <v>70</v>
      </c>
      <c r="C738" s="92"/>
      <c r="D738" s="101"/>
      <c r="E738" s="102"/>
      <c r="F738" s="103">
        <f>IFERROR(D738*E738,0)</f>
        <v>0</v>
      </c>
    </row>
    <row r="739" spans="1:6" s="10" customFormat="1" ht="25.5" outlineLevel="1" x14ac:dyDescent="0.2">
      <c r="A739" s="159">
        <v>14.4</v>
      </c>
      <c r="B739" s="121" t="s">
        <v>594</v>
      </c>
      <c r="C739" s="2" t="s">
        <v>386</v>
      </c>
      <c r="D739" s="14">
        <v>1</v>
      </c>
      <c r="E739" s="6">
        <v>45000</v>
      </c>
      <c r="F739" s="6">
        <f>IFERROR(D739*E739,0)</f>
        <v>45000</v>
      </c>
    </row>
    <row r="740" spans="1:6" s="10" customFormat="1" ht="14.25" outlineLevel="1" x14ac:dyDescent="0.2">
      <c r="A740" s="191" t="s">
        <v>107</v>
      </c>
      <c r="B740" s="123" t="s">
        <v>346</v>
      </c>
      <c r="C740" s="92"/>
      <c r="D740" s="101"/>
      <c r="E740" s="102"/>
      <c r="F740" s="103">
        <f>IFERROR(D740*E740,0)</f>
        <v>0</v>
      </c>
    </row>
    <row r="741" spans="1:6" s="10" customFormat="1" ht="14.25" outlineLevel="1" x14ac:dyDescent="0.2">
      <c r="A741" s="191"/>
      <c r="B741" s="123" t="s">
        <v>347</v>
      </c>
      <c r="C741" s="92"/>
      <c r="D741" s="101"/>
      <c r="E741" s="104">
        <v>0</v>
      </c>
      <c r="F741" s="103">
        <f>IFERROR(F739*E741,0)</f>
        <v>0</v>
      </c>
    </row>
    <row r="742" spans="1:6" s="10" customFormat="1" ht="14.25" outlineLevel="1" x14ac:dyDescent="0.2">
      <c r="A742" s="191"/>
      <c r="B742" s="123" t="s">
        <v>70</v>
      </c>
      <c r="C742" s="92"/>
      <c r="D742" s="101"/>
      <c r="E742" s="102"/>
      <c r="F742" s="103">
        <f>IFERROR(D742*E742,0)</f>
        <v>0</v>
      </c>
    </row>
    <row r="743" spans="1:6" s="10" customFormat="1" ht="25.5" outlineLevel="1" x14ac:dyDescent="0.2">
      <c r="A743" s="159">
        <v>14.5</v>
      </c>
      <c r="B743" s="121" t="s">
        <v>503</v>
      </c>
      <c r="C743" s="2" t="s">
        <v>386</v>
      </c>
      <c r="D743" s="3">
        <v>1</v>
      </c>
      <c r="E743" s="6">
        <v>15000</v>
      </c>
      <c r="F743" s="6">
        <f>IFERROR(D743*E743,0)</f>
        <v>15000</v>
      </c>
    </row>
    <row r="744" spans="1:6" s="10" customFormat="1" ht="14.25" outlineLevel="1" x14ac:dyDescent="0.2">
      <c r="A744" s="191" t="s">
        <v>107</v>
      </c>
      <c r="B744" s="123" t="s">
        <v>346</v>
      </c>
      <c r="C744" s="92"/>
      <c r="D744" s="101"/>
      <c r="E744" s="102"/>
      <c r="F744" s="103">
        <f>IFERROR(D744*E744,0)</f>
        <v>0</v>
      </c>
    </row>
    <row r="745" spans="1:6" s="10" customFormat="1" ht="14.25" outlineLevel="1" x14ac:dyDescent="0.2">
      <c r="A745" s="191"/>
      <c r="B745" s="123" t="s">
        <v>347</v>
      </c>
      <c r="C745" s="92"/>
      <c r="D745" s="101"/>
      <c r="E745" s="104">
        <v>0</v>
      </c>
      <c r="F745" s="103">
        <f>IFERROR(F743*E745,0)</f>
        <v>0</v>
      </c>
    </row>
    <row r="746" spans="1:6" s="10" customFormat="1" ht="14.25" outlineLevel="1" x14ac:dyDescent="0.2">
      <c r="A746" s="191"/>
      <c r="B746" s="123" t="s">
        <v>70</v>
      </c>
      <c r="C746" s="92"/>
      <c r="D746" s="101"/>
      <c r="E746" s="102"/>
      <c r="F746" s="103">
        <f>IFERROR(D746*E746,0)</f>
        <v>0</v>
      </c>
    </row>
    <row r="747" spans="1:6" s="10" customFormat="1" ht="38.25" outlineLevel="1" x14ac:dyDescent="0.2">
      <c r="A747" s="159">
        <v>14.6</v>
      </c>
      <c r="B747" s="121" t="s">
        <v>569</v>
      </c>
      <c r="C747" s="2" t="s">
        <v>386</v>
      </c>
      <c r="D747" s="3">
        <v>1</v>
      </c>
      <c r="E747" s="6">
        <v>30000</v>
      </c>
      <c r="F747" s="6">
        <f>IFERROR(D747*E747,0)</f>
        <v>30000</v>
      </c>
    </row>
    <row r="748" spans="1:6" s="10" customFormat="1" ht="14.25" outlineLevel="1" x14ac:dyDescent="0.2">
      <c r="A748" s="191" t="s">
        <v>107</v>
      </c>
      <c r="B748" s="123" t="s">
        <v>346</v>
      </c>
      <c r="C748" s="92"/>
      <c r="D748" s="101"/>
      <c r="E748" s="102"/>
      <c r="F748" s="103">
        <f>IFERROR(D748*E748,0)</f>
        <v>0</v>
      </c>
    </row>
    <row r="749" spans="1:6" s="10" customFormat="1" ht="14.25" outlineLevel="1" x14ac:dyDescent="0.2">
      <c r="A749" s="191"/>
      <c r="B749" s="123" t="s">
        <v>347</v>
      </c>
      <c r="C749" s="92"/>
      <c r="D749" s="101"/>
      <c r="E749" s="104">
        <v>0</v>
      </c>
      <c r="F749" s="103">
        <f>IFERROR(F747*E749,0)</f>
        <v>0</v>
      </c>
    </row>
    <row r="750" spans="1:6" s="10" customFormat="1" ht="14.25" outlineLevel="1" x14ac:dyDescent="0.2">
      <c r="A750" s="191"/>
      <c r="B750" s="123" t="s">
        <v>70</v>
      </c>
      <c r="C750" s="92"/>
      <c r="D750" s="101"/>
      <c r="E750" s="102"/>
      <c r="F750" s="103">
        <f>IFERROR(D750*E750,0)</f>
        <v>0</v>
      </c>
    </row>
    <row r="751" spans="1:6" s="10" customFormat="1" ht="24.95" customHeight="1" x14ac:dyDescent="0.2">
      <c r="A751" s="147"/>
      <c r="B751" s="126" t="s">
        <v>491</v>
      </c>
      <c r="C751" s="140"/>
      <c r="D751" s="140"/>
      <c r="E751" s="140"/>
      <c r="F751" s="98">
        <f>SUM(F723:F750)</f>
        <v>1440000</v>
      </c>
    </row>
  </sheetData>
  <sheetProtection formatCells="0" formatColumns="0" selectLockedCells="1"/>
  <mergeCells count="13">
    <mergeCell ref="A748:A750"/>
    <mergeCell ref="A1:A2"/>
    <mergeCell ref="F1:F2"/>
    <mergeCell ref="E1:E2"/>
    <mergeCell ref="D1:D2"/>
    <mergeCell ref="B1:B2"/>
    <mergeCell ref="C1:C2"/>
    <mergeCell ref="H735:L735"/>
    <mergeCell ref="A728:A730"/>
    <mergeCell ref="A744:A746"/>
    <mergeCell ref="A732:A734"/>
    <mergeCell ref="A736:A738"/>
    <mergeCell ref="A740:A742"/>
  </mergeCells>
  <phoneticPr fontId="9" type="noConversion"/>
  <conditionalFormatting sqref="D69:E69 D1:F1 D110:F127 F128:F147 D128:E148 D690:D704 F690:F704 D752:F1048576">
    <cfRule type="cellIs" dxfId="24" priority="769" operator="equal">
      <formula>0</formula>
    </cfRule>
  </conditionalFormatting>
  <conditionalFormatting sqref="D81:E81">
    <cfRule type="cellIs" dxfId="23" priority="92" operator="equal">
      <formula>0</formula>
    </cfRule>
  </conditionalFormatting>
  <conditionalFormatting sqref="D100:E109">
    <cfRule type="cellIs" dxfId="22" priority="194" operator="equal">
      <formula>0</formula>
    </cfRule>
  </conditionalFormatting>
  <conditionalFormatting sqref="D278:E306">
    <cfRule type="cellIs" dxfId="21" priority="29" operator="equal">
      <formula>0</formula>
    </cfRule>
  </conditionalFormatting>
  <conditionalFormatting sqref="D513:E596">
    <cfRule type="cellIs" dxfId="20" priority="6" operator="equal">
      <formula>0</formula>
    </cfRule>
  </conditionalFormatting>
  <conditionalFormatting sqref="D600:E601">
    <cfRule type="cellIs" dxfId="19" priority="7" operator="equal">
      <formula>0</formula>
    </cfRule>
  </conditionalFormatting>
  <conditionalFormatting sqref="D662:E662">
    <cfRule type="cellIs" dxfId="18" priority="5" operator="equal">
      <formula>0</formula>
    </cfRule>
  </conditionalFormatting>
  <conditionalFormatting sqref="D664:E670 D688:E688">
    <cfRule type="cellIs" dxfId="17" priority="3" operator="equal">
      <formula>0</formula>
    </cfRule>
  </conditionalFormatting>
  <conditionalFormatting sqref="D3:F68">
    <cfRule type="cellIs" dxfId="16" priority="206" operator="equal">
      <formula>0</formula>
    </cfRule>
  </conditionalFormatting>
  <conditionalFormatting sqref="D70:F99 D171:F180 F181:F192 D181:E193 F230:F231 D230:E232 D307:F358 F359:F360 D359:E361 D707:D720 F707:F720">
    <cfRule type="cellIs" dxfId="15" priority="37" operator="equal">
      <formula>0</formula>
    </cfRule>
  </conditionalFormatting>
  <conditionalFormatting sqref="D149:F167">
    <cfRule type="cellIs" dxfId="14" priority="303" operator="equal">
      <formula>0</formula>
    </cfRule>
  </conditionalFormatting>
  <conditionalFormatting sqref="D233:F277">
    <cfRule type="cellIs" dxfId="13" priority="18" operator="equal">
      <formula>0</formula>
    </cfRule>
  </conditionalFormatting>
  <conditionalFormatting sqref="D362:F506">
    <cfRule type="cellIs" dxfId="12" priority="2" operator="equal">
      <formula>0</formula>
    </cfRule>
  </conditionalFormatting>
  <conditionalFormatting sqref="D512:F512">
    <cfRule type="cellIs" dxfId="11" priority="8" operator="equal">
      <formula>0</formula>
    </cfRule>
  </conditionalFormatting>
  <conditionalFormatting sqref="D663:F663">
    <cfRule type="cellIs" dxfId="10" priority="4" operator="equal">
      <formula>0</formula>
    </cfRule>
  </conditionalFormatting>
  <conditionalFormatting sqref="D689:F689">
    <cfRule type="cellIs" dxfId="9" priority="35" operator="equal">
      <formula>0</formula>
    </cfRule>
  </conditionalFormatting>
  <conditionalFormatting sqref="E3:E69">
    <cfRule type="containsText" dxfId="8" priority="205" operator="containsText" text="EX">
      <formula>NOT(ISERROR(SEARCH("EX",E3)))</formula>
    </cfRule>
  </conditionalFormatting>
  <conditionalFormatting sqref="E74">
    <cfRule type="cellIs" dxfId="7" priority="600" operator="equal">
      <formula>0</formula>
    </cfRule>
  </conditionalFormatting>
  <conditionalFormatting sqref="E689">
    <cfRule type="containsText" dxfId="6" priority="34" operator="containsText" text="EX">
      <formula>NOT(ISERROR(SEARCH("EX",E689)))</formula>
    </cfRule>
  </conditionalFormatting>
  <conditionalFormatting sqref="F100:F108">
    <cfRule type="cellIs" dxfId="5" priority="193" operator="equal">
      <formula>0</formula>
    </cfRule>
  </conditionalFormatting>
  <conditionalFormatting sqref="F168:F169 D168:E170 D194:F229 F507:F510 D507:E511 F513:F661">
    <cfRule type="cellIs" dxfId="4" priority="36" operator="equal">
      <formula>0</formula>
    </cfRule>
  </conditionalFormatting>
  <conditionalFormatting sqref="F278:F305">
    <cfRule type="cellIs" dxfId="3" priority="28" operator="equal">
      <formula>0</formula>
    </cfRule>
  </conditionalFormatting>
  <conditionalFormatting sqref="F664:F687 D723:D750 F723:F750">
    <cfRule type="cellIs" dxfId="2" priority="56" operator="equal">
      <formula>0</formula>
    </cfRule>
  </conditionalFormatting>
  <printOptions horizontalCentered="1"/>
  <pageMargins left="0.23622047244094491" right="0.23622047244094491" top="0.86614173228346458" bottom="0.74803149606299213" header="0.31496062992125984" footer="0.31496062992125984"/>
  <pageSetup paperSize="9" fitToHeight="0" orientation="portrait" r:id="rId1"/>
  <headerFooter scaleWithDoc="0">
    <oddHeader>&amp;L&amp;"Arial,Regular"&amp;10Employer : Mr. Mongi Jarray&amp;C&amp;"Arial,Bold"&amp;10Project 224025
G + 4P + 15 Floors Building &amp;"Arial,Regular"&amp;9
on Plot No. 308 at Al Khan / Al Khaldeah, Sharjah, U.A.E&amp;R&amp;G</oddHeader>
    <oddFooter>&amp;L&amp;10 224025_BOQ_Rev.T00_23-09-2024&amp;C&amp;10&amp;K04-017&amp;A&amp;11&amp;K01+000
&amp;R&amp;P of &amp;N</oddFooter>
  </headerFooter>
  <rowBreaks count="12" manualBreakCount="12">
    <brk id="19" max="5" man="1"/>
    <brk id="69" max="5" man="1"/>
    <brk id="109" max="5" man="1"/>
    <brk id="148" max="5" man="1"/>
    <brk id="232" max="5" man="1"/>
    <brk id="306" max="5" man="1"/>
    <brk id="317" max="5" man="1"/>
    <brk id="361" max="5" man="1"/>
    <brk id="662" max="5" man="1"/>
    <brk id="688" max="5" man="1"/>
    <brk id="705" max="5" man="1"/>
    <brk id="721" max="5"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24"/>
  <sheetViews>
    <sheetView view="pageBreakPreview" zoomScale="99" zoomScaleNormal="100" zoomScaleSheetLayoutView="99" workbookViewId="0">
      <pane ySplit="1" topLeftCell="A2" activePane="bottomLeft" state="frozen"/>
      <selection activeCell="D657" sqref="D657"/>
      <selection pane="bottomLeft" activeCell="B22" sqref="B22:F22"/>
    </sheetView>
  </sheetViews>
  <sheetFormatPr defaultColWidth="9.140625" defaultRowHeight="15" x14ac:dyDescent="0.25"/>
  <cols>
    <col min="1" max="1" width="8" style="10" customWidth="1"/>
    <col min="2" max="2" width="44.85546875" style="124" customWidth="1"/>
    <col min="3" max="3" width="6" style="22" customWidth="1"/>
    <col min="4" max="4" width="11.140625" style="28" customWidth="1"/>
    <col min="5" max="5" width="11.140625" style="29" customWidth="1"/>
    <col min="6" max="6" width="17.85546875" style="29" customWidth="1"/>
    <col min="7" max="16384" width="9.140625" style="17"/>
  </cols>
  <sheetData>
    <row r="1" spans="1:6" ht="24.95" customHeight="1" x14ac:dyDescent="0.2">
      <c r="A1" s="215" t="s">
        <v>490</v>
      </c>
      <c r="B1" s="216"/>
      <c r="C1" s="216"/>
      <c r="D1" s="216"/>
      <c r="E1" s="216"/>
      <c r="F1" s="217"/>
    </row>
    <row r="2" spans="1:6" s="130" customFormat="1" ht="30" customHeight="1" x14ac:dyDescent="0.25">
      <c r="A2" s="26">
        <v>1</v>
      </c>
      <c r="B2" s="212" t="s">
        <v>71</v>
      </c>
      <c r="C2" s="213"/>
      <c r="D2" s="213"/>
      <c r="E2" s="214"/>
      <c r="F2" s="9">
        <f>'BILL 1 TO 14'!F69</f>
        <v>0</v>
      </c>
    </row>
    <row r="3" spans="1:6" s="131" customFormat="1" ht="30" customHeight="1" x14ac:dyDescent="0.25">
      <c r="A3" s="26">
        <v>2</v>
      </c>
      <c r="B3" s="212" t="s">
        <v>72</v>
      </c>
      <c r="C3" s="213"/>
      <c r="D3" s="213"/>
      <c r="E3" s="214"/>
      <c r="F3" s="9">
        <f>'BILL 1 TO 14'!F109</f>
        <v>0</v>
      </c>
    </row>
    <row r="4" spans="1:6" s="131" customFormat="1" ht="30" customHeight="1" x14ac:dyDescent="0.25">
      <c r="A4" s="26">
        <v>3</v>
      </c>
      <c r="B4" s="212" t="s">
        <v>73</v>
      </c>
      <c r="C4" s="213"/>
      <c r="D4" s="213"/>
      <c r="E4" s="214"/>
      <c r="F4" s="9">
        <f>'BILL 1 TO 14'!F148</f>
        <v>0</v>
      </c>
    </row>
    <row r="5" spans="1:6" s="131" customFormat="1" ht="30" customHeight="1" x14ac:dyDescent="0.25">
      <c r="A5" s="26">
        <v>4</v>
      </c>
      <c r="B5" s="212" t="s">
        <v>74</v>
      </c>
      <c r="C5" s="213"/>
      <c r="D5" s="213"/>
      <c r="E5" s="214"/>
      <c r="F5" s="9">
        <f>'BILL 1 TO 14'!F170</f>
        <v>0</v>
      </c>
    </row>
    <row r="6" spans="1:6" s="131" customFormat="1" ht="30" customHeight="1" x14ac:dyDescent="0.25">
      <c r="A6" s="26">
        <v>5</v>
      </c>
      <c r="B6" s="212" t="s">
        <v>97</v>
      </c>
      <c r="C6" s="213"/>
      <c r="D6" s="213"/>
      <c r="E6" s="214"/>
      <c r="F6" s="9">
        <f>'BILL 1 TO 14'!F193</f>
        <v>0</v>
      </c>
    </row>
    <row r="7" spans="1:6" s="131" customFormat="1" ht="30" customHeight="1" x14ac:dyDescent="0.25">
      <c r="A7" s="26">
        <v>6</v>
      </c>
      <c r="B7" s="212" t="s">
        <v>350</v>
      </c>
      <c r="C7" s="213"/>
      <c r="D7" s="213"/>
      <c r="E7" s="214"/>
      <c r="F7" s="6">
        <f>'BILL 1 TO 14'!F232</f>
        <v>0</v>
      </c>
    </row>
    <row r="8" spans="1:6" s="131" customFormat="1" ht="30" customHeight="1" x14ac:dyDescent="0.25">
      <c r="A8" s="26">
        <v>7</v>
      </c>
      <c r="B8" s="212" t="s">
        <v>94</v>
      </c>
      <c r="C8" s="213"/>
      <c r="D8" s="213"/>
      <c r="E8" s="214"/>
      <c r="F8" s="9">
        <f>'BILL 1 TO 14'!F306</f>
        <v>0</v>
      </c>
    </row>
    <row r="9" spans="1:6" s="131" customFormat="1" ht="30" customHeight="1" x14ac:dyDescent="0.25">
      <c r="A9" s="26">
        <v>8</v>
      </c>
      <c r="B9" s="212" t="s">
        <v>95</v>
      </c>
      <c r="C9" s="213"/>
      <c r="D9" s="213"/>
      <c r="E9" s="214"/>
      <c r="F9" s="9">
        <f>'BILL 1 TO 14'!F361</f>
        <v>0</v>
      </c>
    </row>
    <row r="10" spans="1:6" s="131" customFormat="1" ht="30" customHeight="1" x14ac:dyDescent="0.25">
      <c r="A10" s="26">
        <v>9</v>
      </c>
      <c r="B10" s="212" t="s">
        <v>75</v>
      </c>
      <c r="C10" s="213"/>
      <c r="D10" s="213"/>
      <c r="E10" s="214"/>
      <c r="F10" s="9">
        <f>'BILL 1 TO 14'!F511</f>
        <v>0</v>
      </c>
    </row>
    <row r="11" spans="1:6" s="131" customFormat="1" ht="30" customHeight="1" x14ac:dyDescent="0.25">
      <c r="A11" s="26">
        <v>10</v>
      </c>
      <c r="B11" s="212" t="s">
        <v>76</v>
      </c>
      <c r="C11" s="213"/>
      <c r="D11" s="213"/>
      <c r="E11" s="214"/>
      <c r="F11" s="9">
        <f>'BILL 1 TO 14'!F662</f>
        <v>0</v>
      </c>
    </row>
    <row r="12" spans="1:6" s="131" customFormat="1" ht="30" customHeight="1" x14ac:dyDescent="0.25">
      <c r="A12" s="26">
        <v>11</v>
      </c>
      <c r="B12" s="212" t="s">
        <v>349</v>
      </c>
      <c r="C12" s="213"/>
      <c r="D12" s="213"/>
      <c r="E12" s="214"/>
      <c r="F12" s="9">
        <f>'BILL 1 TO 14'!F688</f>
        <v>0</v>
      </c>
    </row>
    <row r="13" spans="1:6" s="10" customFormat="1" ht="30" customHeight="1" x14ac:dyDescent="0.2">
      <c r="A13" s="26">
        <v>12</v>
      </c>
      <c r="B13" s="212" t="s">
        <v>489</v>
      </c>
      <c r="C13" s="213"/>
      <c r="D13" s="213"/>
      <c r="E13" s="214"/>
      <c r="F13" s="9">
        <f>'BILL 1 TO 14'!F705</f>
        <v>0</v>
      </c>
    </row>
    <row r="14" spans="1:6" s="131" customFormat="1" ht="30" customHeight="1" x14ac:dyDescent="0.25">
      <c r="A14" s="26">
        <v>13</v>
      </c>
      <c r="B14" s="212" t="s">
        <v>348</v>
      </c>
      <c r="C14" s="213"/>
      <c r="D14" s="213"/>
      <c r="E14" s="214"/>
      <c r="F14" s="9">
        <f>'BILL 1 TO 14'!F721</f>
        <v>0</v>
      </c>
    </row>
    <row r="15" spans="1:6" s="131" customFormat="1" ht="30" customHeight="1" x14ac:dyDescent="0.25">
      <c r="A15" s="26">
        <v>14</v>
      </c>
      <c r="B15" s="212" t="s">
        <v>69</v>
      </c>
      <c r="C15" s="213"/>
      <c r="D15" s="213"/>
      <c r="E15" s="214"/>
      <c r="F15" s="9">
        <f>'BILL 1 TO 14'!F751</f>
        <v>1440000</v>
      </c>
    </row>
    <row r="16" spans="1:6" s="131" customFormat="1" ht="30" customHeight="1" x14ac:dyDescent="0.25">
      <c r="A16" s="203" t="s">
        <v>639</v>
      </c>
      <c r="B16" s="204"/>
      <c r="C16" s="204"/>
      <c r="D16" s="204"/>
      <c r="E16" s="205"/>
      <c r="F16" s="181">
        <f>SUM(F2:F15)</f>
        <v>1440000</v>
      </c>
    </row>
    <row r="17" spans="1:6" s="131" customFormat="1" ht="30" customHeight="1" x14ac:dyDescent="0.25">
      <c r="A17" s="206" t="s">
        <v>640</v>
      </c>
      <c r="B17" s="207"/>
      <c r="C17" s="207"/>
      <c r="D17" s="207"/>
      <c r="E17" s="208"/>
      <c r="F17" s="9"/>
    </row>
    <row r="18" spans="1:6" s="10" customFormat="1" ht="30" customHeight="1" x14ac:dyDescent="0.2">
      <c r="A18" s="209" t="s">
        <v>641</v>
      </c>
      <c r="B18" s="210"/>
      <c r="C18" s="210"/>
      <c r="D18" s="210"/>
      <c r="E18" s="211"/>
      <c r="F18" s="141">
        <f>SUM(F16:F17)</f>
        <v>1440000</v>
      </c>
    </row>
    <row r="19" spans="1:6" s="54" customFormat="1" ht="27.75" customHeight="1" x14ac:dyDescent="0.2">
      <c r="A19" s="182"/>
      <c r="B19" s="124"/>
      <c r="C19" s="201"/>
      <c r="D19" s="201"/>
      <c r="E19" s="201"/>
    </row>
    <row r="20" spans="1:6" s="54" customFormat="1" ht="27.75" customHeight="1" x14ac:dyDescent="0.2">
      <c r="A20" s="182"/>
      <c r="B20" s="124" t="s">
        <v>642</v>
      </c>
      <c r="C20" s="201"/>
      <c r="D20" s="201"/>
      <c r="E20" s="201"/>
    </row>
    <row r="21" spans="1:6" s="54" customFormat="1" ht="27.75" customHeight="1" x14ac:dyDescent="0.2">
      <c r="A21" s="182"/>
      <c r="B21" s="200" t="s">
        <v>644</v>
      </c>
      <c r="C21" s="200"/>
      <c r="D21" s="200"/>
      <c r="E21" s="200"/>
      <c r="F21" s="200"/>
    </row>
    <row r="22" spans="1:6" s="54" customFormat="1" ht="27.75" customHeight="1" x14ac:dyDescent="0.2">
      <c r="A22" s="182"/>
      <c r="B22" s="201" t="s">
        <v>645</v>
      </c>
      <c r="C22" s="201"/>
      <c r="D22" s="201"/>
      <c r="E22" s="201"/>
      <c r="F22" s="201"/>
    </row>
    <row r="23" spans="1:6" s="54" customFormat="1" ht="27.75" customHeight="1" x14ac:dyDescent="0.2">
      <c r="A23" s="182"/>
      <c r="B23" s="202"/>
      <c r="C23" s="202"/>
      <c r="D23" s="202"/>
      <c r="E23" s="202"/>
      <c r="F23" s="202"/>
    </row>
    <row r="24" spans="1:6" s="54" customFormat="1" ht="27.75" customHeight="1" x14ac:dyDescent="0.2">
      <c r="A24" s="183"/>
      <c r="B24" s="202" t="s">
        <v>643</v>
      </c>
      <c r="C24" s="202"/>
      <c r="D24" s="202"/>
      <c r="E24" s="202"/>
      <c r="F24" s="202"/>
    </row>
  </sheetData>
  <sheetProtection formatCells="0" formatColumns="0" selectLockedCells="1"/>
  <mergeCells count="24">
    <mergeCell ref="A1:F1"/>
    <mergeCell ref="B2:E2"/>
    <mergeCell ref="B3:E3"/>
    <mergeCell ref="B4:E4"/>
    <mergeCell ref="B5:E5"/>
    <mergeCell ref="A16:E16"/>
    <mergeCell ref="A17:E17"/>
    <mergeCell ref="A18:E18"/>
    <mergeCell ref="B6:E6"/>
    <mergeCell ref="B7:E7"/>
    <mergeCell ref="B8:E8"/>
    <mergeCell ref="B9:E9"/>
    <mergeCell ref="B10:E10"/>
    <mergeCell ref="B11:E11"/>
    <mergeCell ref="B12:E12"/>
    <mergeCell ref="B13:E13"/>
    <mergeCell ref="B14:E14"/>
    <mergeCell ref="B15:E15"/>
    <mergeCell ref="B21:F21"/>
    <mergeCell ref="B22:F22"/>
    <mergeCell ref="B23:F23"/>
    <mergeCell ref="B24:F24"/>
    <mergeCell ref="C19:E19"/>
    <mergeCell ref="C20:E20"/>
  </mergeCells>
  <phoneticPr fontId="9" type="noConversion"/>
  <conditionalFormatting sqref="D19:D20 D25:D1048576">
    <cfRule type="cellIs" dxfId="1" priority="194" operator="equal">
      <formula>0</formula>
    </cfRule>
  </conditionalFormatting>
  <conditionalFormatting sqref="E23:E24">
    <cfRule type="cellIs" dxfId="0" priority="1" operator="equal">
      <formula>0</formula>
    </cfRule>
  </conditionalFormatting>
  <printOptions horizontalCentered="1"/>
  <pageMargins left="0.23622047244094491" right="0.23622047244094491" top="0.98425196850393704" bottom="0.74803149606299213" header="0.31496062992125984" footer="0.31496062992125984"/>
  <pageSetup paperSize="9" fitToHeight="0" orientation="portrait" r:id="rId1"/>
  <headerFooter scaleWithDoc="0">
    <oddHeader>&amp;L&amp;"Arial,Regular"&amp;10Employer : Mr. Mongi Jarray&amp;C&amp;"Arial,Bold"&amp;10Project 224025
G + 4P + 15 Floors Building &amp;"Arial,Regular"&amp;9
on Plot No. 308 at Al Khan / Al Khaldeah, Sharjah, U.A.E&amp;R&amp;G</oddHeader>
    <oddFooter>&amp;L&amp;10BOQ_224025_Rev. T00_23-09-2024&amp;C&amp;10&amp;K04-017&amp;A&amp;11&amp;K01+000
&amp;R&amp;P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Cover</vt:lpstr>
      <vt:lpstr>BILL 1 TO 14</vt:lpstr>
      <vt:lpstr>SUMMARY</vt:lpstr>
      <vt:lpstr>'BILL 1 TO 14'!Print_Area</vt:lpstr>
      <vt:lpstr>Cover!Print_Area</vt:lpstr>
      <vt:lpstr>SUMMARY!Print_Area</vt:lpstr>
      <vt:lpstr>'BILL 1 TO 14'!Print_Titles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2022-09-08T13:26:23Z</dcterms:created>
  <dcterms:modified xsi:type="dcterms:W3CDTF">2026-02-15T13:31:41Z</dcterms:modified>
</cp:coreProperties>
</file>